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OneDrive\Documents\Excel\"/>
    </mc:Choice>
  </mc:AlternateContent>
  <xr:revisionPtr revIDLastSave="0" documentId="13_ncr:9_{715C25AF-3905-47AC-A9E9-D7D25B98C54D}" xr6:coauthVersionLast="47" xr6:coauthVersionMax="47" xr10:uidLastSave="{00000000-0000-0000-0000-000000000000}"/>
  <bookViews>
    <workbookView xWindow="-108" yWindow="-108" windowWidth="23256" windowHeight="13176" xr2:uid="{25EFE891-BCF4-4639-90A0-EA6605FCECDF}"/>
  </bookViews>
  <sheets>
    <sheet name="Pivot Table" sheetId="2" r:id="rId1"/>
    <sheet name="Dashboard" sheetId="5" r:id="rId2"/>
    <sheet name="data" sheetId="1" r:id="rId3"/>
    <sheet name="Documentation" sheetId="11" r:id="rId4"/>
  </sheets>
  <definedNames>
    <definedName name="NativeTimeline_year2">#N/A</definedName>
    <definedName name="Slicer_Model">#N/A</definedName>
    <definedName name="Slicer_Region">#N/A</definedName>
    <definedName name="Slicer_Year">#N/A</definedName>
  </definedNames>
  <calcPr calcId="0"/>
  <pivotCaches>
    <pivotCache cacheId="14" r:id="rId5"/>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10"/>
      </x15:timelineCachePivotCaches>
    </ext>
    <ext xmlns:x15="http://schemas.microsoft.com/office/spreadsheetml/2010/11/main" uri="{D0CA8CA8-9F24-4464-BF8E-62219DCF47F9}">
      <x15:timelineCacheRefs>
        <x15:timelineCacheRef r:id="rId11"/>
      </x15:timelineCacheRef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2" i="1"/>
  <c r="O4" i="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2" i="1"/>
  <c r="G4" i="5"/>
  <c r="C4" i="5"/>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2" i="1"/>
  <c r="L2" i="1"/>
  <c r="K2" i="1"/>
  <c r="K4" i="5" l="1"/>
</calcChain>
</file>

<file path=xl/sharedStrings.xml><?xml version="1.0" encoding="utf-8"?>
<sst xmlns="http://schemas.openxmlformats.org/spreadsheetml/2006/main" count="1063" uniqueCount="54">
  <si>
    <t>Year</t>
  </si>
  <si>
    <t>Month</t>
  </si>
  <si>
    <t>Region</t>
  </si>
  <si>
    <t>Model</t>
  </si>
  <si>
    <t>Units_Sold</t>
  </si>
  <si>
    <t>Avg_Price_EUR</t>
  </si>
  <si>
    <t>Revenue_EUR</t>
  </si>
  <si>
    <t>BEV_Share</t>
  </si>
  <si>
    <t>Premium_Share</t>
  </si>
  <si>
    <t>GDP_Growth</t>
  </si>
  <si>
    <t>Europe</t>
  </si>
  <si>
    <t>3 Series</t>
  </si>
  <si>
    <t>5 Series</t>
  </si>
  <si>
    <t>X3</t>
  </si>
  <si>
    <t>X5</t>
  </si>
  <si>
    <t>X7</t>
  </si>
  <si>
    <t>i4</t>
  </si>
  <si>
    <t>iX</t>
  </si>
  <si>
    <t>MINI</t>
  </si>
  <si>
    <t>China</t>
  </si>
  <si>
    <t>USA</t>
  </si>
  <si>
    <t>RestOfWorld</t>
  </si>
  <si>
    <t>Row Labels</t>
  </si>
  <si>
    <t>Grand Total</t>
  </si>
  <si>
    <t>Sum of Revenue_EUR</t>
  </si>
  <si>
    <t>Sum of Units_Sold</t>
  </si>
  <si>
    <t>Vlookup</t>
  </si>
  <si>
    <t>Index match</t>
  </si>
  <si>
    <t>IF Condition</t>
  </si>
  <si>
    <t>Sum of BEV_Share</t>
  </si>
  <si>
    <t>BMW Performance &amp; Sales Analysis</t>
  </si>
  <si>
    <t>Total Revenue</t>
  </si>
  <si>
    <t>Total Units</t>
  </si>
  <si>
    <t>Best Region</t>
  </si>
  <si>
    <t>Top Model</t>
  </si>
  <si>
    <t>Column1</t>
  </si>
  <si>
    <t>year2</t>
  </si>
  <si>
    <t xml:space="preserve">This dataset contains car sales data including Year, Region, Model, Units Sold, and Revenue.  </t>
  </si>
  <si>
    <t>The data is used to analyze sales performance across different regions and models.</t>
  </si>
  <si>
    <t>1. Cleaned the dataset (checked blanks and errors)</t>
  </si>
  <si>
    <t>2. Converted Year into proper Date format using DATE function</t>
  </si>
  <si>
    <t>3. Created Pivot Tables for analysis</t>
  </si>
  <si>
    <t>4. Added slicers for Region, Model, and Year</t>
  </si>
  <si>
    <t>5. Created charts (bar, line, pie) for visualization</t>
  </si>
  <si>
    <t>6. Built KPI cards for key metrics</t>
  </si>
  <si>
    <t>7. Added Timeline for date filtering</t>
  </si>
  <si>
    <t>1. Total Revenue → =SUM(G2:G500)</t>
  </si>
  <si>
    <t>2. Total Units → =SUM(F2:F500)</t>
  </si>
  <si>
    <t>3. Date Conversion → =DATE(A2,1,1)</t>
  </si>
  <si>
    <t>4. Top Model → =INDEX(B2:B500, MATCH(MAX(G2:G500), G2:G500, 0))</t>
  </si>
  <si>
    <t>5. Region-wise Revenue → =SUMIF(C:C, "Region", G:G)</t>
  </si>
  <si>
    <t xml:space="preserve">The dashboard shows key insights such as total revenue, total units sold, best region, and top model.  </t>
  </si>
  <si>
    <t xml:space="preserve">Slicers and timeline are used to filter data dynamically.  </t>
  </si>
  <si>
    <t>Charts help visualize sales trends and comparisons across regions and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</si>
</sst>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66" formatCode="[$€-2]\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5" fontId="0" fillId="0" borderId="0" xfId="0" applyNumberFormat="1"/>
    <xf numFmtId="166"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9" fillId="33" borderId="0" xfId="0" applyFont="1" applyFill="1" applyAlignment="1">
      <alignment horizontal="center"/>
    </xf>
    <xf numFmtId="0" fontId="18" fillId="34" borderId="0" xfId="0" applyFont="1" applyFill="1" applyAlignment="1">
      <alignment horizontal="center" vertical="center" wrapText="1"/>
    </xf>
    <xf numFmtId="166" fontId="16" fillId="34" borderId="0" xfId="0" applyNumberFormat="1" applyFont="1" applyFill="1" applyAlignment="1">
      <alignment horizontal="center" vertical="center"/>
    </xf>
    <xf numFmtId="0" fontId="16" fillId="34" borderId="0" xfId="0" applyFont="1" applyFill="1" applyAlignment="1">
      <alignment horizontal="center" vertical="center"/>
    </xf>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9" formatCode="dd/mm/yyyy"/>
    </dxf>
    <dxf>
      <numFmt numFmtId="166" formatCode="[$€-2]\ #,##0.00"/>
    </dxf>
    <dxf>
      <numFmt numFmtId="14" formatCode="0.00%"/>
    </dxf>
    <dxf>
      <numFmt numFmtId="165" formatCode="&quot;₹&quot;\ #,##0.00"/>
    </dxf>
    <dxf>
      <numFmt numFmtId="166" formatCode="[$€-2]\ #,##0.00"/>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189033561489"/>
          <c:y val="0.25606867638020586"/>
          <c:w val="0.52516805953577128"/>
          <c:h val="0.63338925962563186"/>
        </c:manualLayout>
      </c:layout>
      <c:barChart>
        <c:barDir val="bar"/>
        <c:grouping val="clustered"/>
        <c:varyColors val="0"/>
        <c:ser>
          <c:idx val="0"/>
          <c:order val="0"/>
          <c:tx>
            <c:v>Total</c:v>
          </c:tx>
          <c:spPr>
            <a:solidFill>
              <a:schemeClr val="accent6"/>
            </a:solidFill>
            <a:ln>
              <a:noFill/>
            </a:ln>
            <a:effectLst/>
          </c:spPr>
          <c:invertIfNegative val="0"/>
          <c:cat>
            <c:strLit>
              <c:ptCount val="4"/>
              <c:pt idx="0">
                <c:v>China</c:v>
              </c:pt>
              <c:pt idx="1">
                <c:v>Europe</c:v>
              </c:pt>
              <c:pt idx="2">
                <c:v>RestOfWorld</c:v>
              </c:pt>
              <c:pt idx="3">
                <c:v>USA</c:v>
              </c:pt>
            </c:strLit>
          </c:cat>
          <c:val>
            <c:numLit>
              <c:formatCode>General</c:formatCode>
              <c:ptCount val="4"/>
              <c:pt idx="0">
                <c:v>58905926051</c:v>
              </c:pt>
              <c:pt idx="1">
                <c:v>56325491359</c:v>
              </c:pt>
              <c:pt idx="2">
                <c:v>55528754190</c:v>
              </c:pt>
              <c:pt idx="3">
                <c:v>54599997295</c:v>
              </c:pt>
            </c:numLit>
          </c:val>
          <c:extLst>
            <c:ext xmlns:c16="http://schemas.microsoft.com/office/drawing/2014/chart" uri="{C3380CC4-5D6E-409C-BE32-E72D297353CC}">
              <c16:uniqueId val="{00000000-70B1-40EF-8537-CBA8A0167455}"/>
            </c:ext>
          </c:extLst>
        </c:ser>
        <c:dLbls>
          <c:showLegendKey val="0"/>
          <c:showVal val="0"/>
          <c:showCatName val="0"/>
          <c:showSerName val="0"/>
          <c:showPercent val="0"/>
          <c:showBubbleSize val="0"/>
        </c:dLbls>
        <c:gapWidth val="182"/>
        <c:axId val="1655576048"/>
        <c:axId val="1655574608"/>
      </c:barChart>
      <c:catAx>
        <c:axId val="16555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74608"/>
        <c:crosses val="autoZero"/>
        <c:auto val="1"/>
        <c:lblAlgn val="ctr"/>
        <c:lblOffset val="100"/>
        <c:noMultiLvlLbl val="0"/>
      </c:catAx>
      <c:valAx>
        <c:axId val="165557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7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[Darshil_exceldashbord.xlsx]Pivot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28575" cap="rnd">
              <a:solidFill>
                <a:schemeClr val="accent6"/>
              </a:solidFill>
              <a:round/>
            </a:ln>
            <a:effectLst/>
          </c:spPr>
          <c:marker>
            <c:symbol val="none"/>
          </c:marker>
          <c:cat>
            <c:strRef>
              <c:f>'Pivot Table'!$A$14:$A$26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Table'!$B$14:$B$26</c:f>
              <c:numCache>
                <c:formatCode>"₹"\ #,##0.00</c:formatCode>
                <c:ptCount val="12"/>
                <c:pt idx="0">
                  <c:v>28141682683</c:v>
                </c:pt>
                <c:pt idx="1">
                  <c:v>14262539157</c:v>
                </c:pt>
                <c:pt idx="2">
                  <c:v>15742298559</c:v>
                </c:pt>
                <c:pt idx="3">
                  <c:v>13961149660</c:v>
                </c:pt>
                <c:pt idx="4">
                  <c:v>14066747403</c:v>
                </c:pt>
                <c:pt idx="5">
                  <c:v>16132049293</c:v>
                </c:pt>
                <c:pt idx="6">
                  <c:v>28939245556</c:v>
                </c:pt>
                <c:pt idx="7">
                  <c:v>26750335726</c:v>
                </c:pt>
                <c:pt idx="8">
                  <c:v>24678706819</c:v>
                </c:pt>
                <c:pt idx="9">
                  <c:v>13673681419</c:v>
                </c:pt>
                <c:pt idx="10">
                  <c:v>14679551797</c:v>
                </c:pt>
                <c:pt idx="11">
                  <c:v>14332180823</c:v>
                </c:pt>
              </c:numCache>
            </c:numRef>
          </c:val>
          <c:smooth val="0"/>
          <c:extLst>
            <c:ext xmlns:c16="http://schemas.microsoft.com/office/drawing/2014/chart" uri="{C3380CC4-5D6E-409C-BE32-E72D297353CC}">
              <c16:uniqueId val="{00000000-59DD-4439-B920-27312B6C1392}"/>
            </c:ext>
          </c:extLst>
        </c:ser>
        <c:dLbls>
          <c:showLegendKey val="0"/>
          <c:showVal val="0"/>
          <c:showCatName val="0"/>
          <c:showSerName val="0"/>
          <c:showPercent val="0"/>
          <c:showBubbleSize val="0"/>
        </c:dLbls>
        <c:smooth val="0"/>
        <c:axId val="959077616"/>
        <c:axId val="959074736"/>
      </c:lineChart>
      <c:catAx>
        <c:axId val="95907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74736"/>
        <c:crosses val="autoZero"/>
        <c:auto val="1"/>
        <c:lblAlgn val="ctr"/>
        <c:lblOffset val="100"/>
        <c:noMultiLvlLbl val="0"/>
      </c:catAx>
      <c:valAx>
        <c:axId val="959074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[Darshil_exceldashbord.xlsx]Pivot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'Pivot Table'!$B$42</c:f>
              <c:strCache>
                <c:ptCount val="1"/>
                <c:pt idx="0">
                  <c:v>Total</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52ED-4429-A188-8D23D7B85C11}"/>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52ED-4429-A188-8D23D7B85C11}"/>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52ED-4429-A188-8D23D7B85C11}"/>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52ED-4429-A188-8D23D7B85C11}"/>
              </c:ext>
            </c:extLst>
          </c:dPt>
          <c:cat>
            <c:strRef>
              <c:f>'Pivot Table'!$A$43:$A$47</c:f>
              <c:strCache>
                <c:ptCount val="4"/>
                <c:pt idx="0">
                  <c:v>China</c:v>
                </c:pt>
                <c:pt idx="1">
                  <c:v>Europe</c:v>
                </c:pt>
                <c:pt idx="2">
                  <c:v>RestOfWorld</c:v>
                </c:pt>
                <c:pt idx="3">
                  <c:v>USA</c:v>
                </c:pt>
              </c:strCache>
            </c:strRef>
          </c:cat>
          <c:val>
            <c:numRef>
              <c:f>'Pivot Table'!$B$43:$B$47</c:f>
              <c:numCache>
                <c:formatCode>General</c:formatCode>
                <c:ptCount val="4"/>
                <c:pt idx="0">
                  <c:v>3.8309999999999991</c:v>
                </c:pt>
                <c:pt idx="1">
                  <c:v>4.2449999999999974</c:v>
                </c:pt>
                <c:pt idx="2">
                  <c:v>3.6449999999999987</c:v>
                </c:pt>
                <c:pt idx="3">
                  <c:v>3.6969999999999992</c:v>
                </c:pt>
              </c:numCache>
            </c:numRef>
          </c:val>
          <c:extLst>
            <c:ext xmlns:c16="http://schemas.microsoft.com/office/drawing/2014/chart" uri="{C3380CC4-5D6E-409C-BE32-E72D297353CC}">
              <c16:uniqueId val="{00000008-52ED-4429-A188-8D23D7B85C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1189033561489"/>
          <c:y val="0.25606867638020586"/>
          <c:w val="0.52516805953577128"/>
          <c:h val="0.63338925962563186"/>
        </c:manualLayout>
      </c:layout>
      <c:barChart>
        <c:barDir val="bar"/>
        <c:grouping val="clustered"/>
        <c:varyColors val="0"/>
        <c:ser>
          <c:idx val="0"/>
          <c:order val="0"/>
          <c:tx>
            <c:v>Total</c:v>
          </c:tx>
          <c:spPr>
            <a:solidFill>
              <a:schemeClr val="accent6"/>
            </a:solidFill>
            <a:ln>
              <a:noFill/>
            </a:ln>
            <a:effectLst/>
          </c:spPr>
          <c:invertIfNegative val="0"/>
          <c:cat>
            <c:strLit>
              <c:ptCount val="4"/>
              <c:pt idx="0">
                <c:v>China</c:v>
              </c:pt>
              <c:pt idx="1">
                <c:v>Europe</c:v>
              </c:pt>
              <c:pt idx="2">
                <c:v>RestOfWorld</c:v>
              </c:pt>
              <c:pt idx="3">
                <c:v>USA</c:v>
              </c:pt>
            </c:strLit>
          </c:cat>
          <c:val>
            <c:numLit>
              <c:formatCode>General</c:formatCode>
              <c:ptCount val="4"/>
              <c:pt idx="0">
                <c:v>58905926051</c:v>
              </c:pt>
              <c:pt idx="1">
                <c:v>56325491359</c:v>
              </c:pt>
              <c:pt idx="2">
                <c:v>55528754190</c:v>
              </c:pt>
              <c:pt idx="3">
                <c:v>54599997295</c:v>
              </c:pt>
            </c:numLit>
          </c:val>
          <c:extLst>
            <c:ext xmlns:c16="http://schemas.microsoft.com/office/drawing/2014/chart" uri="{C3380CC4-5D6E-409C-BE32-E72D297353CC}">
              <c16:uniqueId val="{00000000-70B1-40EF-8537-CBA8A0167455}"/>
            </c:ext>
          </c:extLst>
        </c:ser>
        <c:dLbls>
          <c:showLegendKey val="0"/>
          <c:showVal val="0"/>
          <c:showCatName val="0"/>
          <c:showSerName val="0"/>
          <c:showPercent val="0"/>
          <c:showBubbleSize val="0"/>
        </c:dLbls>
        <c:gapWidth val="182"/>
        <c:axId val="1655576048"/>
        <c:axId val="1655574608"/>
      </c:barChart>
      <c:catAx>
        <c:axId val="165557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74608"/>
        <c:crosses val="autoZero"/>
        <c:auto val="1"/>
        <c:lblAlgn val="ctr"/>
        <c:lblOffset val="100"/>
        <c:noMultiLvlLbl val="0"/>
      </c:catAx>
      <c:valAx>
        <c:axId val="1655574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7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[Darshil_exceldashbord.xlsx]Pivot Table!PivotTable3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Table'!$B$13</c:f>
              <c:strCache>
                <c:ptCount val="1"/>
                <c:pt idx="0">
                  <c:v>Total</c:v>
                </c:pt>
              </c:strCache>
            </c:strRef>
          </c:tx>
          <c:spPr>
            <a:ln w="28575" cap="rnd">
              <a:solidFill>
                <a:schemeClr val="accent6"/>
              </a:solidFill>
              <a:round/>
            </a:ln>
            <a:effectLst/>
          </c:spPr>
          <c:marker>
            <c:symbol val="none"/>
          </c:marker>
          <c:cat>
            <c:strRef>
              <c:f>'Pivot Table'!$A$14:$A$26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Table'!$B$14:$B$26</c:f>
              <c:numCache>
                <c:formatCode>"₹"\ #,##0.00</c:formatCode>
                <c:ptCount val="12"/>
                <c:pt idx="0">
                  <c:v>28141682683</c:v>
                </c:pt>
                <c:pt idx="1">
                  <c:v>14262539157</c:v>
                </c:pt>
                <c:pt idx="2">
                  <c:v>15742298559</c:v>
                </c:pt>
                <c:pt idx="3">
                  <c:v>13961149660</c:v>
                </c:pt>
                <c:pt idx="4">
                  <c:v>14066747403</c:v>
                </c:pt>
                <c:pt idx="5">
                  <c:v>16132049293</c:v>
                </c:pt>
                <c:pt idx="6">
                  <c:v>28939245556</c:v>
                </c:pt>
                <c:pt idx="7">
                  <c:v>26750335726</c:v>
                </c:pt>
                <c:pt idx="8">
                  <c:v>24678706819</c:v>
                </c:pt>
                <c:pt idx="9">
                  <c:v>13673681419</c:v>
                </c:pt>
                <c:pt idx="10">
                  <c:v>14679551797</c:v>
                </c:pt>
                <c:pt idx="11">
                  <c:v>14332180823</c:v>
                </c:pt>
              </c:numCache>
            </c:numRef>
          </c:val>
          <c:smooth val="0"/>
          <c:extLst>
            <c:ext xmlns:c16="http://schemas.microsoft.com/office/drawing/2014/chart" uri="{C3380CC4-5D6E-409C-BE32-E72D297353CC}">
              <c16:uniqueId val="{00000000-59DD-4439-B920-27312B6C1392}"/>
            </c:ext>
          </c:extLst>
        </c:ser>
        <c:dLbls>
          <c:showLegendKey val="0"/>
          <c:showVal val="0"/>
          <c:showCatName val="0"/>
          <c:showSerName val="0"/>
          <c:showPercent val="0"/>
          <c:showBubbleSize val="0"/>
        </c:dLbls>
        <c:smooth val="0"/>
        <c:axId val="959077616"/>
        <c:axId val="959074736"/>
      </c:lineChart>
      <c:catAx>
        <c:axId val="95907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74736"/>
        <c:crosses val="autoZero"/>
        <c:auto val="1"/>
        <c:lblAlgn val="ctr"/>
        <c:lblOffset val="100"/>
        <c:noMultiLvlLbl val="0"/>
      </c:catAx>
      <c:valAx>
        <c:axId val="959074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9</xdr:row>
      <xdr:rowOff>167640</xdr:rowOff>
    </xdr:from>
    <xdr:to>
      <xdr:col>7</xdr:col>
      <xdr:colOff>533400</xdr:colOff>
      <xdr:row>24</xdr:row>
      <xdr:rowOff>167640</xdr:rowOff>
    </xdr:to>
    <xdr:graphicFrame macro="">
      <xdr:nvGraphicFramePr>
        <xdr:cNvPr id="2" name="Chart 1">
          <a:extLst>
            <a:ext uri="{FF2B5EF4-FFF2-40B4-BE49-F238E27FC236}">
              <a16:creationId xmlns:a16="http://schemas.microsoft.com/office/drawing/2014/main" id="{230C330F-3998-430F-9ED4-5BC8DA6C0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600210</xdr:colOff>
      <xdr:row>9</xdr:row>
      <xdr:rowOff>175259</xdr:rowOff>
    </xdr:from>
    <xdr:to>
      <xdr:col>15</xdr:col>
      <xdr:colOff>296949</xdr:colOff>
      <xdr:row>24</xdr:row>
      <xdr:rowOff>175259</xdr:rowOff>
    </xdr:to>
    <xdr:graphicFrame macro="">
      <xdr:nvGraphicFramePr>
        <xdr:cNvPr id="3" name="Chart 2">
          <a:extLst>
            <a:ext uri="{FF2B5EF4-FFF2-40B4-BE49-F238E27FC236}">
              <a16:creationId xmlns:a16="http://schemas.microsoft.com/office/drawing/2014/main" id="{BB31B0FD-DDEE-4817-960C-900368F33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388620</xdr:colOff>
      <xdr:row>9</xdr:row>
      <xdr:rowOff>175260</xdr:rowOff>
    </xdr:from>
    <xdr:to>
      <xdr:col>23</xdr:col>
      <xdr:colOff>83820</xdr:colOff>
      <xdr:row>24</xdr:row>
      <xdr:rowOff>175260</xdr:rowOff>
    </xdr:to>
    <xdr:graphicFrame macro="">
      <xdr:nvGraphicFramePr>
        <xdr:cNvPr id="4" name="Chart 3">
          <a:extLst>
            <a:ext uri="{FF2B5EF4-FFF2-40B4-BE49-F238E27FC236}">
              <a16:creationId xmlns:a16="http://schemas.microsoft.com/office/drawing/2014/main" id="{5EEBE549-8707-4B4D-AFFC-9BE2DA026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405168</xdr:colOff>
      <xdr:row>25</xdr:row>
      <xdr:rowOff>15393</xdr:rowOff>
    </xdr:from>
    <xdr:to>
      <xdr:col>12</xdr:col>
      <xdr:colOff>263543</xdr:colOff>
      <xdr:row>29</xdr:row>
      <xdr:rowOff>177107</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48DDA930-7783-8F34-F7C4-721B3C4372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32016" y="4926060"/>
              <a:ext cx="1828800" cy="900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174258</xdr:colOff>
      <xdr:row>25</xdr:row>
      <xdr:rowOff>46106</xdr:rowOff>
    </xdr:from>
    <xdr:to>
      <xdr:col>3</xdr:col>
      <xdr:colOff>1208423</xdr:colOff>
      <xdr:row>31</xdr:row>
      <xdr:rowOff>138547</xdr:rowOff>
    </xdr:to>
    <mc:AlternateContent xmlns:mc="http://schemas.openxmlformats.org/markup-compatibility/2006">
      <mc:Choice xmlns:a14="http://schemas.microsoft.com/office/drawing/2010/main" Requires="a14">
        <xdr:graphicFrame macro="">
          <xdr:nvGraphicFramePr>
            <xdr:cNvPr id="6" name="Model">
              <a:extLst>
                <a:ext uri="{FF2B5EF4-FFF2-40B4-BE49-F238E27FC236}">
                  <a16:creationId xmlns:a16="http://schemas.microsoft.com/office/drawing/2014/main" id="{5F6B33E3-88F1-A700-D802-E61ABE7E379A}"/>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782319" y="4956773"/>
              <a:ext cx="2250286" cy="1200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83434</xdr:colOff>
      <xdr:row>24</xdr:row>
      <xdr:rowOff>164408</xdr:rowOff>
    </xdr:from>
    <xdr:to>
      <xdr:col>23</xdr:col>
      <xdr:colOff>88053</xdr:colOff>
      <xdr:row>32</xdr:row>
      <xdr:rowOff>153939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CE81345-9283-B89C-8782-50B2B8B954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45192" y="4890347"/>
              <a:ext cx="1828800" cy="146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251691</xdr:colOff>
      <xdr:row>9</xdr:row>
      <xdr:rowOff>167640</xdr:rowOff>
    </xdr:from>
    <xdr:to>
      <xdr:col>7</xdr:col>
      <xdr:colOff>556491</xdr:colOff>
      <xdr:row>24</xdr:row>
      <xdr:rowOff>167640</xdr:rowOff>
    </xdr:to>
    <xdr:graphicFrame macro="">
      <xdr:nvGraphicFramePr>
        <xdr:cNvPr id="8" name="Chart 7">
          <a:extLst>
            <a:ext uri="{FF2B5EF4-FFF2-40B4-BE49-F238E27FC236}">
              <a16:creationId xmlns:a16="http://schemas.microsoft.com/office/drawing/2014/main" id="{D1E4C0BE-D4E0-BA0E-DFD7-79DFE68CB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15240</xdr:colOff>
      <xdr:row>9</xdr:row>
      <xdr:rowOff>175259</xdr:rowOff>
    </xdr:from>
    <xdr:to>
      <xdr:col>15</xdr:col>
      <xdr:colOff>320040</xdr:colOff>
      <xdr:row>24</xdr:row>
      <xdr:rowOff>175259</xdr:rowOff>
    </xdr:to>
    <xdr:graphicFrame macro="">
      <xdr:nvGraphicFramePr>
        <xdr:cNvPr id="9" name="Chart 8">
          <a:extLst>
            <a:ext uri="{FF2B5EF4-FFF2-40B4-BE49-F238E27FC236}">
              <a16:creationId xmlns:a16="http://schemas.microsoft.com/office/drawing/2014/main" id="{C9BCE1ED-1473-3604-2EF3-961A8A7DE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1359591</xdr:colOff>
      <xdr:row>25</xdr:row>
      <xdr:rowOff>15393</xdr:rowOff>
    </xdr:from>
    <xdr:to>
      <xdr:col>9</xdr:col>
      <xdr:colOff>294485</xdr:colOff>
      <xdr:row>32</xdr:row>
      <xdr:rowOff>93902</xdr:rowOff>
    </xdr:to>
    <mc:AlternateContent xmlns:mc="http://schemas.openxmlformats.org/markup-compatibility/2006">
      <mc:Choice xmlns:tsle="http://schemas.microsoft.com/office/drawing/2012/timeslicer" Requires="tsle">
        <xdr:graphicFrame macro="">
          <xdr:nvGraphicFramePr>
            <xdr:cNvPr id="10" name="year2 1">
              <a:extLst>
                <a:ext uri="{FF2B5EF4-FFF2-40B4-BE49-F238E27FC236}">
                  <a16:creationId xmlns:a16="http://schemas.microsoft.com/office/drawing/2014/main" id="{7EA56E2F-4BA0-4682-86A1-694BCBD51E57}"/>
                </a:ext>
              </a:extLst>
            </xdr:cNvPr>
            <xdr:cNvGraphicFramePr/>
          </xdr:nvGraphicFramePr>
          <xdr:xfrm>
            <a:off x="0" y="0"/>
            <a:ext cx="0" cy="0"/>
          </xdr:xfrm>
          <a:graphic>
            <a:graphicData uri="http://schemas.microsoft.com/office/drawing/2012/timeslicer">
              <tsle:timeslicer xmlns:tsle="http://schemas.microsoft.com/office/drawing/2012/timeslicer" name="year2 1"/>
            </a:graphicData>
          </a:graphic>
        </xdr:graphicFrame>
      </mc:Choice>
      <mc:Fallback>
        <xdr:sp macro="" textlink="">
          <xdr:nvSpPr>
            <xdr:cNvPr id="0" name=""/>
            <xdr:cNvSpPr>
              <a:spLocks noTextEdit="1"/>
            </xdr:cNvSpPr>
          </xdr:nvSpPr>
          <xdr:spPr>
            <a:xfrm>
              <a:off x="3183773" y="4926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0.445657986114" createdVersion="8" refreshedVersion="8" minRefreshableVersion="3" recordCount="499" xr:uid="{603A6622-02D2-4828-960A-8207D8B1B661}">
  <cacheSource type="worksheet">
    <worksheetSource ref="A1:J500" sheet="data"/>
  </cacheSource>
  <cacheFields count="10">
    <cacheField name="Year" numFmtId="0">
      <sharedItems containsSemiMixedTypes="0" containsString="0" containsNumber="1" containsInteger="1" minValue="2018" maxValue="2019" count="2">
        <n v="2018"/>
        <n v="2019"/>
      </sharedItems>
    </cacheField>
    <cacheField name="Month" numFmtId="0">
      <sharedItems containsSemiMixedTypes="0" containsString="0" containsNumber="1" containsInteger="1" minValue="1" maxValue="12" count="12">
        <n v="1"/>
        <n v="5"/>
        <n v="6"/>
        <n v="7"/>
        <n v="8"/>
        <n v="9"/>
        <n v="10"/>
        <n v="11"/>
        <n v="12"/>
        <n v="2"/>
        <n v="3"/>
        <n v="4"/>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3295"/>
    </cacheField>
    <cacheField name="Avg_Price_EUR" numFmtId="166">
      <sharedItems containsSemiMixedTypes="0" containsString="0" containsNumber="1" containsInteger="1" minValue="40101" maxValue="93932"/>
    </cacheField>
    <cacheField name="Revenue_EUR" numFmtId="165">
      <sharedItems containsSemiMixedTypes="0" containsString="0" containsNumber="1" containsInteger="1" minValue="104531427" maxValue="1210616110"/>
    </cacheField>
    <cacheField name="BEV_Share" numFmtId="0">
      <sharedItems containsSemiMixedTypes="0" containsString="0" containsNumber="1" minValue="-1.4999999999999999E-2" maxValue="7.0000000000000007E-2"/>
    </cacheField>
    <cacheField name="Premium_Share" numFmtId="0">
      <sharedItems containsSemiMixedTypes="0" containsString="0" containsNumber="1" minValue="5.09" maxValue="20.78"/>
    </cacheField>
    <cacheField name="GDP_Growth" numFmtId="10">
      <sharedItems containsSemiMixedTypes="0" containsString="0" containsNumber="1" minValue="0.82" maxValue="5.28"/>
    </cacheField>
  </cacheFields>
  <extLst>
    <ext xmlns:x14="http://schemas.microsoft.com/office/spreadsheetml/2009/9/main" uri="{725AE2AE-9491-48be-B2B4-4EB974FC3084}">
      <x14:pivotCacheDefinition pivotCacheId="848722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0.471015740739" createdVersion="8" refreshedVersion="8" minRefreshableVersion="3" recordCount="499" xr:uid="{EBF239A5-FF17-4C8A-AD0A-2BDF08921D9C}">
  <cacheSource type="worksheet">
    <worksheetSource ref="A1:M500" sheet="data"/>
  </cacheSource>
  <cacheFields count="13">
    <cacheField name="Year" numFmtId="0">
      <sharedItems containsSemiMixedTypes="0" containsString="0" containsNumber="1" containsInteger="1" minValue="2018" maxValue="2019"/>
    </cacheField>
    <cacheField name="Month" numFmtId="0">
      <sharedItems containsSemiMixedTypes="0" containsString="0" containsNumber="1" containsInteger="1" minValue="1" maxValue="12"/>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379" maxValue="13295"/>
    </cacheField>
    <cacheField name="Avg_Price_EUR" numFmtId="166">
      <sharedItems containsSemiMixedTypes="0" containsString="0" containsNumber="1" containsInteger="1" minValue="40101" maxValue="93932"/>
    </cacheField>
    <cacheField name="Revenue_EUR" numFmtId="165">
      <sharedItems containsSemiMixedTypes="0" containsString="0" containsNumber="1" containsInteger="1" minValue="104531427" maxValue="1210616110"/>
    </cacheField>
    <cacheField name="BEV_Share" numFmtId="0">
      <sharedItems containsSemiMixedTypes="0" containsString="0" containsNumber="1" minValue="-1.4999999999999999E-2" maxValue="7.0000000000000007E-2"/>
    </cacheField>
    <cacheField name="Premium_Share" numFmtId="0">
      <sharedItems containsSemiMixedTypes="0" containsString="0" containsNumber="1" minValue="5.09" maxValue="20.78"/>
    </cacheField>
    <cacheField name="GDP_Growth" numFmtId="10">
      <sharedItems containsSemiMixedTypes="0" containsString="0" containsNumber="1" minValue="0.82" maxValue="5.28"/>
    </cacheField>
    <cacheField name="Vlookup" numFmtId="0">
      <sharedItems containsString="0" containsBlank="1" containsNumber="1" containsInteger="1" minValue="504226100" maxValue="504226100"/>
    </cacheField>
    <cacheField name="Index match" numFmtId="0">
      <sharedItems containsString="0" containsBlank="1" containsNumber="1" containsInteger="1" minValue="504226100" maxValue="504226100"/>
    </cacheField>
    <cacheField name="IF Condition" numFmtId="0">
      <sharedItems/>
    </cacheField>
  </cacheFields>
  <extLst>
    <ext xmlns:x14="http://schemas.microsoft.com/office/spreadsheetml/2009/9/main" uri="{725AE2AE-9491-48be-B2B4-4EB974FC3084}">
      <x14:pivotCacheDefinition pivotCacheId="130088918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0.522511574076" createdVersion="8" refreshedVersion="8" minRefreshableVersion="3" recordCount="499" xr:uid="{3E1115A4-079C-4C64-8660-42E301206C3D}">
  <cacheSource type="worksheet">
    <worksheetSource name="Table2"/>
  </cacheSource>
  <cacheFields count="18">
    <cacheField name="Year" numFmtId="0">
      <sharedItems containsSemiMixedTypes="0" containsString="0" containsNumber="1" containsInteger="1" minValue="2018" maxValue="2019"/>
    </cacheField>
    <cacheField name="Month" numFmtId="0">
      <sharedItems containsSemiMixedTypes="0" containsString="0" containsNumber="1" containsInteger="1" minValue="1" maxValue="12"/>
    </cacheField>
    <cacheField name="Region" numFmtId="0">
      <sharedItems/>
    </cacheField>
    <cacheField name="Model" numFmtId="0">
      <sharedItems/>
    </cacheField>
    <cacheField name="Units_Sold" numFmtId="0">
      <sharedItems containsSemiMixedTypes="0" containsString="0" containsNumber="1" containsInteger="1" minValue="2379" maxValue="13295"/>
    </cacheField>
    <cacheField name="Avg_Price_EUR" numFmtId="166">
      <sharedItems containsSemiMixedTypes="0" containsString="0" containsNumber="1" containsInteger="1" minValue="40101" maxValue="93932"/>
    </cacheField>
    <cacheField name="Revenue_EUR" numFmtId="165">
      <sharedItems containsSemiMixedTypes="0" containsString="0" containsNumber="1" containsInteger="1" minValue="104531427" maxValue="1210616110"/>
    </cacheField>
    <cacheField name="BEV_Share" numFmtId="0">
      <sharedItems containsSemiMixedTypes="0" containsString="0" containsNumber="1" minValue="-1.4999999999999999E-2" maxValue="7.0000000000000007E-2"/>
    </cacheField>
    <cacheField name="Premium_Share" numFmtId="0">
      <sharedItems containsSemiMixedTypes="0" containsString="0" containsNumber="1" minValue="5.09" maxValue="20.78"/>
    </cacheField>
    <cacheField name="GDP_Growth" numFmtId="10">
      <sharedItems containsSemiMixedTypes="0" containsString="0" containsNumber="1" minValue="0.82" maxValue="5.28"/>
    </cacheField>
    <cacheField name="Vlookup" numFmtId="0">
      <sharedItems containsString="0" containsBlank="1" containsNumber="1" containsInteger="1" minValue="504226100" maxValue="504226100"/>
    </cacheField>
    <cacheField name="Index match" numFmtId="0">
      <sharedItems containsString="0" containsBlank="1" containsNumber="1" containsInteger="1" minValue="504226100" maxValue="504226100"/>
    </cacheField>
    <cacheField name="IF Condition" numFmtId="0">
      <sharedItems/>
    </cacheField>
    <cacheField name="Column1" numFmtId="166">
      <sharedItems containsSemiMixedTypes="0" containsString="0" containsNumber="1" containsInteger="1" minValue="54599997295" maxValue="58905926051"/>
    </cacheField>
    <cacheField name="year2" numFmtId="14">
      <sharedItems containsSemiMixedTypes="0" containsNonDate="0" containsDate="1" containsString="0" minDate="2018-01-01T00:00:00" maxDate="2019-09-02T00:00:00" count="16">
        <d v="2018-01-01T00:00:00"/>
        <d v="2018-05-01T00:00:00"/>
        <d v="2018-06-01T00:00:00"/>
        <d v="2018-07-01T00:00:00"/>
        <d v="2018-08-01T00:00:00"/>
        <d v="2018-09-01T00:00:00"/>
        <d v="2018-10-01T00:00:00"/>
        <d v="2018-11-01T00:00:00"/>
        <d v="2018-12-01T00:00:00"/>
        <d v="2019-01-01T00:00:00"/>
        <d v="2019-02-01T00:00:00"/>
        <d v="2019-03-01T00:00:00"/>
        <d v="2019-04-01T00:00:00"/>
        <d v="2019-07-01T00:00:00"/>
        <d v="2019-08-01T00:00:00"/>
        <d v="2019-09-01T00:00:00"/>
      </sharedItems>
      <fieldGroup par="17"/>
    </cacheField>
    <cacheField name="Months (year2)" numFmtId="0" databaseField="0">
      <fieldGroup base="14">
        <rangePr groupBy="months" startDate="2018-01-01T00:00:00" endDate="2019-09-02T00:00:00"/>
        <groupItems count="14">
          <s v="&lt;01-01-2018"/>
          <s v="Jan"/>
          <s v="Feb"/>
          <s v="Mar"/>
          <s v="Apr"/>
          <s v="May"/>
          <s v="Jun"/>
          <s v="Jul"/>
          <s v="Aug"/>
          <s v="Sep"/>
          <s v="Oct"/>
          <s v="Nov"/>
          <s v="Dec"/>
          <s v="&gt;02-09-2019"/>
        </groupItems>
      </fieldGroup>
    </cacheField>
    <cacheField name="Quarters (year2)" numFmtId="0" databaseField="0">
      <fieldGroup base="14">
        <rangePr groupBy="quarters" startDate="2018-01-01T00:00:00" endDate="2019-09-02T00:00:00"/>
        <groupItems count="6">
          <s v="&lt;01-01-2018"/>
          <s v="Qtr1"/>
          <s v="Qtr2"/>
          <s v="Qtr3"/>
          <s v="Qtr4"/>
          <s v="&gt;02-09-2019"/>
        </groupItems>
      </fieldGroup>
    </cacheField>
    <cacheField name="Years (year2)" numFmtId="0" databaseField="0">
      <fieldGroup base="14">
        <rangePr groupBy="years" startDate="2018-01-01T00:00:00" endDate="2019-09-02T00:00:00"/>
        <groupItems count="4">
          <s v="&lt;01-01-2018"/>
          <s v="2018"/>
          <s v="2019"/>
          <s v="&gt;02-09-2019"/>
        </groupItems>
      </fieldGroup>
    </cacheField>
  </cacheFields>
  <extLst>
    <ext xmlns:x14="http://schemas.microsoft.com/office/spreadsheetml/2009/9/main" uri="{725AE2AE-9491-48be-B2B4-4EB974FC3084}">
      <x14:pivotCacheDefinition pivotCacheId="101703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x v="0"/>
    <x v="0"/>
    <n v="7822"/>
    <n v="47482"/>
    <n v="371404204"/>
    <n v="1.0999999999999999E-2"/>
    <n v="19.12"/>
    <n v="3.5"/>
  </r>
  <r>
    <x v="0"/>
    <x v="0"/>
    <x v="0"/>
    <x v="1"/>
    <n v="10280"/>
    <n v="61685"/>
    <n v="634121800"/>
    <n v="1.9E-2"/>
    <n v="19.12"/>
    <n v="3.5"/>
  </r>
  <r>
    <x v="0"/>
    <x v="0"/>
    <x v="0"/>
    <x v="2"/>
    <n v="3105"/>
    <n v="58433"/>
    <n v="181434465"/>
    <n v="2.1999999999999999E-2"/>
    <n v="19.12"/>
    <n v="3.5"/>
  </r>
  <r>
    <x v="0"/>
    <x v="0"/>
    <x v="0"/>
    <x v="3"/>
    <n v="7420"/>
    <n v="67955"/>
    <n v="504226100"/>
    <n v="2.1000000000000001E-2"/>
    <n v="19.12"/>
    <n v="3.5"/>
  </r>
  <r>
    <x v="0"/>
    <x v="0"/>
    <x v="0"/>
    <x v="4"/>
    <n v="8474"/>
    <n v="92300"/>
    <n v="782150200"/>
    <n v="3.5000000000000003E-2"/>
    <n v="19.12"/>
    <n v="3.5"/>
  </r>
  <r>
    <x v="0"/>
    <x v="0"/>
    <x v="0"/>
    <x v="5"/>
    <n v="10607"/>
    <n v="64082"/>
    <n v="679717774"/>
    <n v="3.5000000000000003E-2"/>
    <n v="19.12"/>
    <n v="3.5"/>
  </r>
  <r>
    <x v="0"/>
    <x v="0"/>
    <x v="0"/>
    <x v="6"/>
    <n v="4805"/>
    <n v="73975"/>
    <n v="355449875"/>
    <n v="1.6E-2"/>
    <n v="19.12"/>
    <n v="3.5"/>
  </r>
  <r>
    <x v="0"/>
    <x v="0"/>
    <x v="0"/>
    <x v="7"/>
    <n v="2554"/>
    <n v="43005"/>
    <n v="109834770"/>
    <n v="1.2999999999999999E-2"/>
    <n v="19.12"/>
    <n v="3.5"/>
  </r>
  <r>
    <x v="0"/>
    <x v="0"/>
    <x v="1"/>
    <x v="0"/>
    <n v="3826"/>
    <n v="48068"/>
    <n v="183908168"/>
    <n v="2.1000000000000001E-2"/>
    <n v="17.600000000000001"/>
    <n v="2.37"/>
  </r>
  <r>
    <x v="0"/>
    <x v="0"/>
    <x v="1"/>
    <x v="1"/>
    <n v="7498"/>
    <n v="62435"/>
    <n v="468137630"/>
    <n v="1.4999999999999999E-2"/>
    <n v="17.600000000000001"/>
    <n v="2.37"/>
  </r>
  <r>
    <x v="0"/>
    <x v="0"/>
    <x v="1"/>
    <x v="2"/>
    <n v="10727"/>
    <n v="57363"/>
    <n v="615332901"/>
    <n v="1.4E-2"/>
    <n v="17.600000000000001"/>
    <n v="2.37"/>
  </r>
  <r>
    <x v="0"/>
    <x v="0"/>
    <x v="1"/>
    <x v="3"/>
    <n v="8298"/>
    <n v="68390"/>
    <n v="567500220"/>
    <n v="1.7000000000000001E-2"/>
    <n v="17.600000000000001"/>
    <n v="2.37"/>
  </r>
  <r>
    <x v="0"/>
    <x v="0"/>
    <x v="1"/>
    <x v="4"/>
    <n v="9119"/>
    <n v="90034"/>
    <n v="821020046"/>
    <n v="0.02"/>
    <n v="17.600000000000001"/>
    <n v="2.37"/>
  </r>
  <r>
    <x v="0"/>
    <x v="0"/>
    <x v="1"/>
    <x v="5"/>
    <n v="5369"/>
    <n v="64955"/>
    <n v="348743395"/>
    <n v="8.9999999999999993E-3"/>
    <n v="17.600000000000001"/>
    <n v="2.37"/>
  </r>
  <r>
    <x v="0"/>
    <x v="0"/>
    <x v="1"/>
    <x v="6"/>
    <n v="3880"/>
    <n v="76461"/>
    <n v="296668680"/>
    <n v="7.0000000000000001E-3"/>
    <n v="17.600000000000001"/>
    <n v="2.37"/>
  </r>
  <r>
    <x v="0"/>
    <x v="0"/>
    <x v="1"/>
    <x v="7"/>
    <n v="6025"/>
    <n v="43893"/>
    <n v="264455325"/>
    <n v="3.1E-2"/>
    <n v="17.600000000000001"/>
    <n v="2.37"/>
  </r>
  <r>
    <x v="0"/>
    <x v="0"/>
    <x v="2"/>
    <x v="0"/>
    <n v="9622"/>
    <n v="46337"/>
    <n v="445854614"/>
    <n v="0.01"/>
    <n v="20.49"/>
    <n v="0.82"/>
  </r>
  <r>
    <x v="0"/>
    <x v="0"/>
    <x v="2"/>
    <x v="1"/>
    <n v="3209"/>
    <n v="61076"/>
    <n v="195992884"/>
    <n v="4.0000000000000001E-3"/>
    <n v="20.49"/>
    <n v="0.82"/>
  </r>
  <r>
    <x v="0"/>
    <x v="0"/>
    <x v="2"/>
    <x v="2"/>
    <n v="7017"/>
    <n v="56379"/>
    <n v="395611443"/>
    <n v="7.0000000000000001E-3"/>
    <n v="20.49"/>
    <n v="0.82"/>
  </r>
  <r>
    <x v="0"/>
    <x v="0"/>
    <x v="2"/>
    <x v="3"/>
    <n v="10624"/>
    <n v="70112"/>
    <n v="744869888"/>
    <n v="1.0999999999999999E-2"/>
    <n v="20.49"/>
    <n v="0.82"/>
  </r>
  <r>
    <x v="0"/>
    <x v="0"/>
    <x v="2"/>
    <x v="4"/>
    <n v="7387"/>
    <n v="91698"/>
    <n v="677373126"/>
    <n v="2.5999999999999999E-2"/>
    <n v="20.49"/>
    <n v="0.82"/>
  </r>
  <r>
    <x v="0"/>
    <x v="0"/>
    <x v="2"/>
    <x v="5"/>
    <n v="7972"/>
    <n v="66561"/>
    <n v="530624292"/>
    <n v="2.9000000000000001E-2"/>
    <n v="20.49"/>
    <n v="0.82"/>
  </r>
  <r>
    <x v="0"/>
    <x v="0"/>
    <x v="2"/>
    <x v="6"/>
    <n v="8249"/>
    <n v="73502"/>
    <n v="606317998"/>
    <n v="1.0999999999999999E-2"/>
    <n v="20.49"/>
    <n v="0.82"/>
  </r>
  <r>
    <x v="0"/>
    <x v="0"/>
    <x v="2"/>
    <x v="7"/>
    <n v="4706"/>
    <n v="43645"/>
    <n v="205393370"/>
    <n v="1.9E-2"/>
    <n v="20.49"/>
    <n v="0.82"/>
  </r>
  <r>
    <x v="0"/>
    <x v="0"/>
    <x v="3"/>
    <x v="0"/>
    <n v="10121"/>
    <n v="47485"/>
    <n v="480595685"/>
    <n v="0"/>
    <n v="6.28"/>
    <n v="4.18"/>
  </r>
  <r>
    <x v="0"/>
    <x v="0"/>
    <x v="3"/>
    <x v="1"/>
    <n v="6023"/>
    <n v="61028"/>
    <n v="367571644"/>
    <n v="3.1E-2"/>
    <n v="6.28"/>
    <n v="4.18"/>
  </r>
  <r>
    <x v="0"/>
    <x v="0"/>
    <x v="3"/>
    <x v="2"/>
    <n v="9390"/>
    <n v="58842"/>
    <n v="552526380"/>
    <n v="1.2E-2"/>
    <n v="6.28"/>
    <n v="4.18"/>
  </r>
  <r>
    <x v="0"/>
    <x v="0"/>
    <x v="3"/>
    <x v="3"/>
    <n v="6638"/>
    <n v="67206"/>
    <n v="446113428"/>
    <n v="1.2E-2"/>
    <n v="6.28"/>
    <n v="4.18"/>
  </r>
  <r>
    <x v="0"/>
    <x v="0"/>
    <x v="3"/>
    <x v="4"/>
    <n v="7252"/>
    <n v="93762"/>
    <n v="679962024"/>
    <n v="1.7999999999999999E-2"/>
    <n v="6.28"/>
    <n v="4.18"/>
  </r>
  <r>
    <x v="0"/>
    <x v="0"/>
    <x v="3"/>
    <x v="5"/>
    <n v="3194"/>
    <n v="65790"/>
    <n v="210133260"/>
    <n v="0.01"/>
    <n v="6.28"/>
    <n v="4.18"/>
  </r>
  <r>
    <x v="0"/>
    <x v="0"/>
    <x v="3"/>
    <x v="6"/>
    <n v="9412"/>
    <n v="74757"/>
    <n v="703612884"/>
    <n v="2.1000000000000001E-2"/>
    <n v="6.28"/>
    <n v="4.18"/>
  </r>
  <r>
    <x v="0"/>
    <x v="0"/>
    <x v="3"/>
    <x v="7"/>
    <n v="9570"/>
    <n v="42278"/>
    <n v="404600460"/>
    <n v="0"/>
    <n v="6.28"/>
    <n v="4.18"/>
  </r>
  <r>
    <x v="0"/>
    <x v="1"/>
    <x v="0"/>
    <x v="0"/>
    <n v="5143"/>
    <n v="47365"/>
    <n v="243598195"/>
    <n v="3.3000000000000002E-2"/>
    <n v="19.260000000000002"/>
    <n v="2.78"/>
  </r>
  <r>
    <x v="0"/>
    <x v="1"/>
    <x v="0"/>
    <x v="1"/>
    <n v="6642"/>
    <n v="60698"/>
    <n v="403156116"/>
    <n v="0.02"/>
    <n v="19.260000000000002"/>
    <n v="2.78"/>
  </r>
  <r>
    <x v="0"/>
    <x v="1"/>
    <x v="0"/>
    <x v="2"/>
    <n v="9201"/>
    <n v="59455"/>
    <n v="547045455"/>
    <n v="2.3E-2"/>
    <n v="19.260000000000002"/>
    <n v="2.78"/>
  </r>
  <r>
    <x v="0"/>
    <x v="1"/>
    <x v="0"/>
    <x v="3"/>
    <n v="7073"/>
    <n v="70577"/>
    <n v="499191121"/>
    <n v="1.9E-2"/>
    <n v="19.260000000000002"/>
    <n v="2.78"/>
  </r>
  <r>
    <x v="0"/>
    <x v="1"/>
    <x v="0"/>
    <x v="4"/>
    <n v="7586"/>
    <n v="91492"/>
    <n v="694058312"/>
    <n v="3.1E-2"/>
    <n v="19.260000000000002"/>
    <n v="2.78"/>
  </r>
  <r>
    <x v="0"/>
    <x v="1"/>
    <x v="0"/>
    <x v="5"/>
    <n v="9643"/>
    <n v="66636"/>
    <n v="642570948"/>
    <n v="4.1000000000000002E-2"/>
    <n v="19.260000000000002"/>
    <n v="2.78"/>
  </r>
  <r>
    <x v="0"/>
    <x v="1"/>
    <x v="0"/>
    <x v="6"/>
    <n v="3483"/>
    <n v="76294"/>
    <n v="265732002"/>
    <n v="1.2999999999999999E-2"/>
    <n v="19.260000000000002"/>
    <n v="2.78"/>
  </r>
  <r>
    <x v="0"/>
    <x v="1"/>
    <x v="0"/>
    <x v="7"/>
    <n v="6867"/>
    <n v="41156"/>
    <n v="282618252"/>
    <n v="0.02"/>
    <n v="19.260000000000002"/>
    <n v="2.78"/>
  </r>
  <r>
    <x v="0"/>
    <x v="1"/>
    <x v="1"/>
    <x v="0"/>
    <n v="6978"/>
    <n v="48539"/>
    <n v="338705142"/>
    <n v="2.4E-2"/>
    <n v="18.940000000000001"/>
    <n v="3.32"/>
  </r>
  <r>
    <x v="0"/>
    <x v="1"/>
    <x v="1"/>
    <x v="1"/>
    <n v="9078"/>
    <n v="63324"/>
    <n v="574855272"/>
    <n v="1.4E-2"/>
    <n v="18.940000000000001"/>
    <n v="3.32"/>
  </r>
  <r>
    <x v="0"/>
    <x v="1"/>
    <x v="1"/>
    <x v="2"/>
    <n v="3839"/>
    <n v="57416"/>
    <n v="220420024"/>
    <n v="6.0000000000000001E-3"/>
    <n v="18.940000000000001"/>
    <n v="3.32"/>
  </r>
  <r>
    <x v="0"/>
    <x v="1"/>
    <x v="1"/>
    <x v="3"/>
    <n v="8966"/>
    <n v="69681"/>
    <n v="624759846"/>
    <n v="1.6E-2"/>
    <n v="18.940000000000001"/>
    <n v="3.32"/>
  </r>
  <r>
    <x v="0"/>
    <x v="1"/>
    <x v="1"/>
    <x v="4"/>
    <n v="11313"/>
    <n v="90510"/>
    <n v="1023939630"/>
    <n v="3.2000000000000001E-2"/>
    <n v="18.940000000000001"/>
    <n v="3.32"/>
  </r>
  <r>
    <x v="0"/>
    <x v="1"/>
    <x v="1"/>
    <x v="5"/>
    <n v="9494"/>
    <n v="63216"/>
    <n v="600172704"/>
    <n v="1.4999999999999999E-2"/>
    <n v="18.940000000000001"/>
    <n v="3.32"/>
  </r>
  <r>
    <x v="0"/>
    <x v="1"/>
    <x v="1"/>
    <x v="6"/>
    <n v="3632"/>
    <n v="76486"/>
    <n v="277797152"/>
    <n v="1.2999999999999999E-2"/>
    <n v="18.940000000000001"/>
    <n v="3.32"/>
  </r>
  <r>
    <x v="0"/>
    <x v="1"/>
    <x v="1"/>
    <x v="7"/>
    <n v="4094"/>
    <n v="42492"/>
    <n v="173962248"/>
    <n v="3.4000000000000002E-2"/>
    <n v="18.940000000000001"/>
    <n v="3.32"/>
  </r>
  <r>
    <x v="0"/>
    <x v="1"/>
    <x v="2"/>
    <x v="0"/>
    <n v="6429"/>
    <n v="47081"/>
    <n v="302683749"/>
    <n v="0.02"/>
    <n v="15.74"/>
    <n v="4.4800000000000004"/>
  </r>
  <r>
    <x v="0"/>
    <x v="1"/>
    <x v="2"/>
    <x v="1"/>
    <n v="8663"/>
    <n v="60455"/>
    <n v="523721665"/>
    <n v="1.7000000000000001E-2"/>
    <n v="15.74"/>
    <n v="4.4800000000000004"/>
  </r>
  <r>
    <x v="0"/>
    <x v="1"/>
    <x v="2"/>
    <x v="2"/>
    <n v="11006"/>
    <n v="57996"/>
    <n v="638303976"/>
    <n v="3.3000000000000002E-2"/>
    <n v="15.74"/>
    <n v="4.4800000000000004"/>
  </r>
  <r>
    <x v="0"/>
    <x v="1"/>
    <x v="2"/>
    <x v="3"/>
    <n v="2853"/>
    <n v="68214"/>
    <n v="194614542"/>
    <n v="2.8000000000000001E-2"/>
    <n v="15.74"/>
    <n v="4.4800000000000004"/>
  </r>
  <r>
    <x v="0"/>
    <x v="1"/>
    <x v="2"/>
    <x v="4"/>
    <n v="3829"/>
    <n v="90933"/>
    <n v="348182457"/>
    <n v="2.7E-2"/>
    <n v="15.74"/>
    <n v="4.4800000000000004"/>
  </r>
  <r>
    <x v="0"/>
    <x v="1"/>
    <x v="2"/>
    <x v="5"/>
    <n v="2501"/>
    <n v="65105"/>
    <n v="162827605"/>
    <n v="1.6E-2"/>
    <n v="15.74"/>
    <n v="4.4800000000000004"/>
  </r>
  <r>
    <x v="0"/>
    <x v="1"/>
    <x v="2"/>
    <x v="6"/>
    <n v="5820"/>
    <n v="73814"/>
    <n v="429597480"/>
    <n v="0.02"/>
    <n v="15.74"/>
    <n v="4.4800000000000004"/>
  </r>
  <r>
    <x v="0"/>
    <x v="1"/>
    <x v="2"/>
    <x v="7"/>
    <n v="6341"/>
    <n v="42933"/>
    <n v="272238153"/>
    <n v="2.4E-2"/>
    <n v="15.74"/>
    <n v="4.4800000000000004"/>
  </r>
  <r>
    <x v="0"/>
    <x v="1"/>
    <x v="3"/>
    <x v="0"/>
    <n v="8255"/>
    <n v="49486"/>
    <n v="408506930"/>
    <n v="3.5000000000000003E-2"/>
    <n v="5.15"/>
    <n v="3.84"/>
  </r>
  <r>
    <x v="0"/>
    <x v="1"/>
    <x v="3"/>
    <x v="1"/>
    <n v="5779"/>
    <n v="61396"/>
    <n v="354807484"/>
    <n v="0.03"/>
    <n v="5.15"/>
    <n v="3.84"/>
  </r>
  <r>
    <x v="0"/>
    <x v="1"/>
    <x v="3"/>
    <x v="2"/>
    <n v="10025"/>
    <n v="59018"/>
    <n v="591655450"/>
    <n v="3.4000000000000002E-2"/>
    <n v="5.15"/>
    <n v="3.84"/>
  </r>
  <r>
    <x v="0"/>
    <x v="1"/>
    <x v="3"/>
    <x v="3"/>
    <n v="3660"/>
    <n v="69783"/>
    <n v="255405780"/>
    <n v="1.2999999999999999E-2"/>
    <n v="5.15"/>
    <n v="3.84"/>
  </r>
  <r>
    <x v="0"/>
    <x v="1"/>
    <x v="3"/>
    <x v="4"/>
    <n v="7184"/>
    <n v="90372"/>
    <n v="649232448"/>
    <n v="1.0999999999999999E-2"/>
    <n v="5.15"/>
    <n v="3.84"/>
  </r>
  <r>
    <x v="0"/>
    <x v="1"/>
    <x v="3"/>
    <x v="5"/>
    <n v="11245"/>
    <n v="64371"/>
    <n v="723851895"/>
    <n v="1.7999999999999999E-2"/>
    <n v="5.15"/>
    <n v="3.84"/>
  </r>
  <r>
    <x v="0"/>
    <x v="1"/>
    <x v="3"/>
    <x v="6"/>
    <n v="8853"/>
    <n v="76249"/>
    <n v="675032397"/>
    <n v="-1E-3"/>
    <n v="5.15"/>
    <n v="3.84"/>
  </r>
  <r>
    <x v="0"/>
    <x v="1"/>
    <x v="3"/>
    <x v="7"/>
    <n v="2887"/>
    <n v="42779"/>
    <n v="123502973"/>
    <n v="1.4999999999999999E-2"/>
    <n v="5.15"/>
    <n v="3.84"/>
  </r>
  <r>
    <x v="0"/>
    <x v="2"/>
    <x v="0"/>
    <x v="0"/>
    <n v="10562"/>
    <n v="49795"/>
    <n v="525934790"/>
    <n v="1E-3"/>
    <n v="17.170000000000002"/>
    <n v="1.67"/>
  </r>
  <r>
    <x v="0"/>
    <x v="2"/>
    <x v="0"/>
    <x v="1"/>
    <n v="5806"/>
    <n v="62799"/>
    <n v="364610994"/>
    <n v="2.4E-2"/>
    <n v="17.170000000000002"/>
    <n v="1.67"/>
  </r>
  <r>
    <x v="0"/>
    <x v="2"/>
    <x v="0"/>
    <x v="2"/>
    <n v="3766"/>
    <n v="56708"/>
    <n v="213562328"/>
    <n v="1.9E-2"/>
    <n v="17.170000000000002"/>
    <n v="1.67"/>
  </r>
  <r>
    <x v="0"/>
    <x v="2"/>
    <x v="0"/>
    <x v="3"/>
    <n v="4771"/>
    <n v="68944"/>
    <n v="328931824"/>
    <n v="2.5999999999999999E-2"/>
    <n v="17.170000000000002"/>
    <n v="1.67"/>
  </r>
  <r>
    <x v="0"/>
    <x v="2"/>
    <x v="0"/>
    <x v="4"/>
    <n v="2759"/>
    <n v="90223"/>
    <n v="248925257"/>
    <n v="3.2000000000000001E-2"/>
    <n v="17.170000000000002"/>
    <n v="1.67"/>
  </r>
  <r>
    <x v="0"/>
    <x v="2"/>
    <x v="0"/>
    <x v="5"/>
    <n v="10943"/>
    <n v="63062"/>
    <n v="690087466"/>
    <n v="1.4999999999999999E-2"/>
    <n v="17.170000000000002"/>
    <n v="1.67"/>
  </r>
  <r>
    <x v="0"/>
    <x v="2"/>
    <x v="0"/>
    <x v="6"/>
    <n v="7067"/>
    <n v="74633"/>
    <n v="527431411"/>
    <n v="2.3E-2"/>
    <n v="17.170000000000002"/>
    <n v="1.67"/>
  </r>
  <r>
    <x v="0"/>
    <x v="2"/>
    <x v="0"/>
    <x v="7"/>
    <n v="10742"/>
    <n v="40510"/>
    <n v="435158420"/>
    <n v="3.2000000000000001E-2"/>
    <n v="17.170000000000002"/>
    <n v="1.67"/>
  </r>
  <r>
    <x v="0"/>
    <x v="2"/>
    <x v="1"/>
    <x v="0"/>
    <n v="4950"/>
    <n v="48818"/>
    <n v="241649100"/>
    <n v="3.5999999999999997E-2"/>
    <n v="20.05"/>
    <n v="2.89"/>
  </r>
  <r>
    <x v="0"/>
    <x v="2"/>
    <x v="1"/>
    <x v="1"/>
    <n v="4356"/>
    <n v="63094"/>
    <n v="274837464"/>
    <n v="2.1999999999999999E-2"/>
    <n v="20.05"/>
    <n v="2.89"/>
  </r>
  <r>
    <x v="0"/>
    <x v="2"/>
    <x v="1"/>
    <x v="2"/>
    <n v="10604"/>
    <n v="56082"/>
    <n v="594693528"/>
    <n v="2.9000000000000001E-2"/>
    <n v="20.05"/>
    <n v="2.89"/>
  </r>
  <r>
    <x v="0"/>
    <x v="2"/>
    <x v="1"/>
    <x v="3"/>
    <n v="10719"/>
    <n v="69504"/>
    <n v="745013376"/>
    <n v="2.8000000000000001E-2"/>
    <n v="20.05"/>
    <n v="2.89"/>
  </r>
  <r>
    <x v="0"/>
    <x v="2"/>
    <x v="1"/>
    <x v="4"/>
    <n v="9346"/>
    <n v="93843"/>
    <n v="877056678"/>
    <n v="1.2E-2"/>
    <n v="20.05"/>
    <n v="2.89"/>
  </r>
  <r>
    <x v="0"/>
    <x v="2"/>
    <x v="1"/>
    <x v="5"/>
    <n v="8871"/>
    <n v="63448"/>
    <n v="562847208"/>
    <n v="1.0999999999999999E-2"/>
    <n v="20.05"/>
    <n v="2.89"/>
  </r>
  <r>
    <x v="0"/>
    <x v="2"/>
    <x v="1"/>
    <x v="6"/>
    <n v="8223"/>
    <n v="73770"/>
    <n v="606610710"/>
    <n v="-1.4999999999999999E-2"/>
    <n v="20.05"/>
    <n v="2.89"/>
  </r>
  <r>
    <x v="0"/>
    <x v="2"/>
    <x v="1"/>
    <x v="7"/>
    <n v="7549"/>
    <n v="41984"/>
    <n v="316937216"/>
    <n v="1.7000000000000001E-2"/>
    <n v="20.05"/>
    <n v="2.89"/>
  </r>
  <r>
    <x v="0"/>
    <x v="2"/>
    <x v="2"/>
    <x v="0"/>
    <n v="9948"/>
    <n v="46577"/>
    <n v="463347996"/>
    <n v="2.5999999999999999E-2"/>
    <n v="20.14"/>
    <n v="5.0599999999999996"/>
  </r>
  <r>
    <x v="0"/>
    <x v="2"/>
    <x v="2"/>
    <x v="1"/>
    <n v="7733"/>
    <n v="62150"/>
    <n v="480605950"/>
    <n v="3.4000000000000002E-2"/>
    <n v="20.14"/>
    <n v="5.0599999999999996"/>
  </r>
  <r>
    <x v="0"/>
    <x v="2"/>
    <x v="2"/>
    <x v="2"/>
    <n v="10319"/>
    <n v="58845"/>
    <n v="607221555"/>
    <n v="3.1E-2"/>
    <n v="20.14"/>
    <n v="5.0599999999999996"/>
  </r>
  <r>
    <x v="0"/>
    <x v="2"/>
    <x v="2"/>
    <x v="3"/>
    <n v="10452"/>
    <n v="69482"/>
    <n v="726225864"/>
    <n v="2E-3"/>
    <n v="20.14"/>
    <n v="5.0599999999999996"/>
  </r>
  <r>
    <x v="0"/>
    <x v="2"/>
    <x v="2"/>
    <x v="4"/>
    <n v="4214"/>
    <n v="91358"/>
    <n v="384982612"/>
    <n v="0"/>
    <n v="20.14"/>
    <n v="5.0599999999999996"/>
  </r>
  <r>
    <x v="0"/>
    <x v="2"/>
    <x v="2"/>
    <x v="5"/>
    <n v="8376"/>
    <n v="63541"/>
    <n v="532219416"/>
    <n v="0.04"/>
    <n v="20.14"/>
    <n v="5.0599999999999996"/>
  </r>
  <r>
    <x v="0"/>
    <x v="2"/>
    <x v="2"/>
    <x v="6"/>
    <n v="8089"/>
    <n v="73796"/>
    <n v="596935844"/>
    <n v="3.9E-2"/>
    <n v="20.14"/>
    <n v="5.0599999999999996"/>
  </r>
  <r>
    <x v="0"/>
    <x v="2"/>
    <x v="2"/>
    <x v="7"/>
    <n v="10497"/>
    <n v="40137"/>
    <n v="421318089"/>
    <n v="2.1999999999999999E-2"/>
    <n v="20.14"/>
    <n v="5.0599999999999996"/>
  </r>
  <r>
    <x v="0"/>
    <x v="2"/>
    <x v="3"/>
    <x v="0"/>
    <n v="7330"/>
    <n v="46204"/>
    <n v="338675320"/>
    <n v="0.02"/>
    <n v="5.52"/>
    <n v="2.99"/>
  </r>
  <r>
    <x v="0"/>
    <x v="2"/>
    <x v="3"/>
    <x v="1"/>
    <n v="9645"/>
    <n v="63818"/>
    <n v="615524610"/>
    <n v="2.4E-2"/>
    <n v="5.52"/>
    <n v="2.99"/>
  </r>
  <r>
    <x v="0"/>
    <x v="2"/>
    <x v="3"/>
    <x v="2"/>
    <n v="4846"/>
    <n v="58895"/>
    <n v="285405170"/>
    <n v="-2E-3"/>
    <n v="5.52"/>
    <n v="2.99"/>
  </r>
  <r>
    <x v="0"/>
    <x v="2"/>
    <x v="3"/>
    <x v="3"/>
    <n v="9611"/>
    <n v="68994"/>
    <n v="663101334"/>
    <n v="0.04"/>
    <n v="5.52"/>
    <n v="2.99"/>
  </r>
  <r>
    <x v="0"/>
    <x v="2"/>
    <x v="3"/>
    <x v="4"/>
    <n v="9384"/>
    <n v="91719"/>
    <n v="860691096"/>
    <n v="8.9999999999999993E-3"/>
    <n v="5.52"/>
    <n v="2.99"/>
  </r>
  <r>
    <x v="0"/>
    <x v="2"/>
    <x v="3"/>
    <x v="5"/>
    <n v="12069"/>
    <n v="66266"/>
    <n v="799764354"/>
    <n v="2.5000000000000001E-2"/>
    <n v="5.52"/>
    <n v="2.99"/>
  </r>
  <r>
    <x v="0"/>
    <x v="2"/>
    <x v="3"/>
    <x v="6"/>
    <n v="4825"/>
    <n v="74969"/>
    <n v="361725425"/>
    <n v="4.1000000000000002E-2"/>
    <n v="5.52"/>
    <n v="2.99"/>
  </r>
  <r>
    <x v="0"/>
    <x v="2"/>
    <x v="3"/>
    <x v="7"/>
    <n v="10204"/>
    <n v="43122"/>
    <n v="440016888"/>
    <n v="1.7000000000000001E-2"/>
    <n v="5.52"/>
    <n v="2.99"/>
  </r>
  <r>
    <x v="0"/>
    <x v="3"/>
    <x v="0"/>
    <x v="0"/>
    <n v="8432"/>
    <n v="47968"/>
    <n v="404466176"/>
    <n v="2.8000000000000001E-2"/>
    <n v="14.62"/>
    <n v="2.1800000000000002"/>
  </r>
  <r>
    <x v="0"/>
    <x v="3"/>
    <x v="0"/>
    <x v="1"/>
    <n v="9253"/>
    <n v="62841"/>
    <n v="581467773"/>
    <n v="1.7000000000000001E-2"/>
    <n v="14.62"/>
    <n v="2.1800000000000002"/>
  </r>
  <r>
    <x v="0"/>
    <x v="3"/>
    <x v="0"/>
    <x v="2"/>
    <n v="8255"/>
    <n v="58397"/>
    <n v="482067235"/>
    <n v="1.2999999999999999E-2"/>
    <n v="14.62"/>
    <n v="2.1800000000000002"/>
  </r>
  <r>
    <x v="0"/>
    <x v="3"/>
    <x v="0"/>
    <x v="3"/>
    <n v="5109"/>
    <n v="67047"/>
    <n v="342543123"/>
    <n v="2.1999999999999999E-2"/>
    <n v="14.62"/>
    <n v="2.1800000000000002"/>
  </r>
  <r>
    <x v="0"/>
    <x v="3"/>
    <x v="0"/>
    <x v="4"/>
    <n v="5836"/>
    <n v="91715"/>
    <n v="535248740"/>
    <n v="2.1999999999999999E-2"/>
    <n v="14.62"/>
    <n v="2.1800000000000002"/>
  </r>
  <r>
    <x v="0"/>
    <x v="3"/>
    <x v="0"/>
    <x v="5"/>
    <n v="2661"/>
    <n v="63638"/>
    <n v="169340718"/>
    <n v="1.2E-2"/>
    <n v="14.62"/>
    <n v="2.1800000000000002"/>
  </r>
  <r>
    <x v="0"/>
    <x v="3"/>
    <x v="0"/>
    <x v="6"/>
    <n v="2427"/>
    <n v="75125"/>
    <n v="182328375"/>
    <n v="4.3999999999999997E-2"/>
    <n v="14.62"/>
    <n v="2.1800000000000002"/>
  </r>
  <r>
    <x v="0"/>
    <x v="3"/>
    <x v="0"/>
    <x v="7"/>
    <n v="2720"/>
    <n v="42713"/>
    <n v="116179360"/>
    <n v="1.7000000000000001E-2"/>
    <n v="14.62"/>
    <n v="2.1800000000000002"/>
  </r>
  <r>
    <x v="0"/>
    <x v="3"/>
    <x v="1"/>
    <x v="0"/>
    <n v="7951"/>
    <n v="47215"/>
    <n v="375406465"/>
    <n v="8.0000000000000002E-3"/>
    <n v="17.579999999999998"/>
    <n v="3.58"/>
  </r>
  <r>
    <x v="0"/>
    <x v="3"/>
    <x v="1"/>
    <x v="1"/>
    <n v="10119"/>
    <n v="61654"/>
    <n v="623876826"/>
    <n v="3.0000000000000001E-3"/>
    <n v="17.579999999999998"/>
    <n v="3.58"/>
  </r>
  <r>
    <x v="0"/>
    <x v="3"/>
    <x v="1"/>
    <x v="2"/>
    <n v="10834"/>
    <n v="58133"/>
    <n v="629812922"/>
    <n v="3.2000000000000001E-2"/>
    <n v="17.579999999999998"/>
    <n v="3.58"/>
  </r>
  <r>
    <x v="0"/>
    <x v="3"/>
    <x v="1"/>
    <x v="3"/>
    <n v="9633"/>
    <n v="67125"/>
    <n v="646615125"/>
    <n v="2.1999999999999999E-2"/>
    <n v="17.579999999999998"/>
    <n v="3.58"/>
  </r>
  <r>
    <x v="0"/>
    <x v="3"/>
    <x v="1"/>
    <x v="4"/>
    <n v="6775"/>
    <n v="91603"/>
    <n v="620610325"/>
    <n v="2.1999999999999999E-2"/>
    <n v="17.579999999999998"/>
    <n v="3.58"/>
  </r>
  <r>
    <x v="0"/>
    <x v="3"/>
    <x v="1"/>
    <x v="5"/>
    <n v="9557"/>
    <n v="63066"/>
    <n v="602721762"/>
    <n v="2.9000000000000001E-2"/>
    <n v="17.579999999999998"/>
    <n v="3.58"/>
  </r>
  <r>
    <x v="0"/>
    <x v="3"/>
    <x v="1"/>
    <x v="6"/>
    <n v="2595"/>
    <n v="73110"/>
    <n v="189720450"/>
    <n v="1.0999999999999999E-2"/>
    <n v="17.579999999999998"/>
    <n v="3.58"/>
  </r>
  <r>
    <x v="0"/>
    <x v="3"/>
    <x v="1"/>
    <x v="7"/>
    <n v="9920"/>
    <n v="43440"/>
    <n v="430924800"/>
    <n v="0.02"/>
    <n v="17.579999999999998"/>
    <n v="3.58"/>
  </r>
  <r>
    <x v="0"/>
    <x v="3"/>
    <x v="2"/>
    <x v="0"/>
    <n v="4977"/>
    <n v="47975"/>
    <n v="238771575"/>
    <n v="2.9000000000000001E-2"/>
    <n v="16.36"/>
    <n v="0.99"/>
  </r>
  <r>
    <x v="0"/>
    <x v="3"/>
    <x v="2"/>
    <x v="1"/>
    <n v="3207"/>
    <n v="61989"/>
    <n v="198798723"/>
    <n v="3.9E-2"/>
    <n v="16.36"/>
    <n v="0.99"/>
  </r>
  <r>
    <x v="0"/>
    <x v="3"/>
    <x v="2"/>
    <x v="2"/>
    <n v="5996"/>
    <n v="58671"/>
    <n v="351791316"/>
    <n v="1.4E-2"/>
    <n v="16.36"/>
    <n v="0.99"/>
  </r>
  <r>
    <x v="0"/>
    <x v="3"/>
    <x v="2"/>
    <x v="3"/>
    <n v="9011"/>
    <n v="70517"/>
    <n v="635428687"/>
    <n v="7.0000000000000001E-3"/>
    <n v="16.36"/>
    <n v="0.99"/>
  </r>
  <r>
    <x v="0"/>
    <x v="3"/>
    <x v="2"/>
    <x v="4"/>
    <n v="5923"/>
    <n v="92595"/>
    <n v="548440185"/>
    <n v="-5.0000000000000001E-3"/>
    <n v="16.36"/>
    <n v="0.99"/>
  </r>
  <r>
    <x v="0"/>
    <x v="3"/>
    <x v="2"/>
    <x v="5"/>
    <n v="11030"/>
    <n v="64246"/>
    <n v="708633380"/>
    <n v="2.7E-2"/>
    <n v="16.36"/>
    <n v="0.99"/>
  </r>
  <r>
    <x v="0"/>
    <x v="3"/>
    <x v="2"/>
    <x v="6"/>
    <n v="2379"/>
    <n v="73003"/>
    <n v="173674137"/>
    <n v="2.4E-2"/>
    <n v="16.36"/>
    <n v="0.99"/>
  </r>
  <r>
    <x v="0"/>
    <x v="3"/>
    <x v="2"/>
    <x v="7"/>
    <n v="8042"/>
    <n v="40645"/>
    <n v="326867090"/>
    <n v="1.9E-2"/>
    <n v="16.36"/>
    <n v="0.99"/>
  </r>
  <r>
    <x v="0"/>
    <x v="3"/>
    <x v="3"/>
    <x v="0"/>
    <n v="7657"/>
    <n v="49097"/>
    <n v="375935729"/>
    <n v="2.3E-2"/>
    <n v="6.45"/>
    <n v="2.99"/>
  </r>
  <r>
    <x v="0"/>
    <x v="3"/>
    <x v="3"/>
    <x v="1"/>
    <n v="8375"/>
    <n v="63371"/>
    <n v="530732125"/>
    <n v="3.7999999999999999E-2"/>
    <n v="6.45"/>
    <n v="2.99"/>
  </r>
  <r>
    <x v="0"/>
    <x v="3"/>
    <x v="3"/>
    <x v="2"/>
    <n v="8520"/>
    <n v="58187"/>
    <n v="495753240"/>
    <n v="2.5999999999999999E-2"/>
    <n v="6.45"/>
    <n v="2.99"/>
  </r>
  <r>
    <x v="0"/>
    <x v="3"/>
    <x v="3"/>
    <x v="3"/>
    <n v="4320"/>
    <n v="69137"/>
    <n v="298671840"/>
    <n v="1.2E-2"/>
    <n v="6.45"/>
    <n v="2.99"/>
  </r>
  <r>
    <x v="0"/>
    <x v="3"/>
    <x v="3"/>
    <x v="4"/>
    <n v="4111"/>
    <n v="92892"/>
    <n v="381879012"/>
    <n v="2.8000000000000001E-2"/>
    <n v="6.45"/>
    <n v="2.99"/>
  </r>
  <r>
    <x v="0"/>
    <x v="3"/>
    <x v="3"/>
    <x v="5"/>
    <n v="4299"/>
    <n v="65306"/>
    <n v="280750494"/>
    <n v="0.02"/>
    <n v="6.45"/>
    <n v="2.99"/>
  </r>
  <r>
    <x v="0"/>
    <x v="3"/>
    <x v="3"/>
    <x v="6"/>
    <n v="5931"/>
    <n v="73260"/>
    <n v="434505060"/>
    <n v="1.2999999999999999E-2"/>
    <n v="6.45"/>
    <n v="2.99"/>
  </r>
  <r>
    <x v="0"/>
    <x v="3"/>
    <x v="3"/>
    <x v="7"/>
    <n v="8111"/>
    <n v="41673"/>
    <n v="338009703"/>
    <n v="-1E-3"/>
    <n v="6.45"/>
    <n v="2.99"/>
  </r>
  <r>
    <x v="0"/>
    <x v="4"/>
    <x v="0"/>
    <x v="0"/>
    <n v="5065"/>
    <n v="49621"/>
    <n v="251330365"/>
    <n v="1.9E-2"/>
    <n v="18.77"/>
    <n v="2.4"/>
  </r>
  <r>
    <x v="0"/>
    <x v="4"/>
    <x v="0"/>
    <x v="1"/>
    <n v="5690"/>
    <n v="63677"/>
    <n v="362322130"/>
    <n v="0.01"/>
    <n v="18.77"/>
    <n v="2.4"/>
  </r>
  <r>
    <x v="0"/>
    <x v="4"/>
    <x v="0"/>
    <x v="2"/>
    <n v="11219"/>
    <n v="58635"/>
    <n v="657826065"/>
    <n v="2.1999999999999999E-2"/>
    <n v="18.77"/>
    <n v="2.4"/>
  </r>
  <r>
    <x v="0"/>
    <x v="4"/>
    <x v="0"/>
    <x v="3"/>
    <n v="10128"/>
    <n v="68570"/>
    <n v="694476960"/>
    <n v="2.1000000000000001E-2"/>
    <n v="18.77"/>
    <n v="2.4"/>
  </r>
  <r>
    <x v="0"/>
    <x v="4"/>
    <x v="0"/>
    <x v="4"/>
    <n v="4807"/>
    <n v="91855"/>
    <n v="441546985"/>
    <n v="2.5000000000000001E-2"/>
    <n v="18.77"/>
    <n v="2.4"/>
  </r>
  <r>
    <x v="0"/>
    <x v="4"/>
    <x v="0"/>
    <x v="5"/>
    <n v="7569"/>
    <n v="66911"/>
    <n v="506449359"/>
    <n v="3.5999999999999997E-2"/>
    <n v="18.77"/>
    <n v="2.4"/>
  </r>
  <r>
    <x v="0"/>
    <x v="4"/>
    <x v="0"/>
    <x v="6"/>
    <n v="10985"/>
    <n v="74314"/>
    <n v="816339290"/>
    <n v="2.8000000000000001E-2"/>
    <n v="18.77"/>
    <n v="2.4"/>
  </r>
  <r>
    <x v="0"/>
    <x v="4"/>
    <x v="0"/>
    <x v="7"/>
    <n v="6954"/>
    <n v="43236"/>
    <n v="300663144"/>
    <n v="2.5999999999999999E-2"/>
    <n v="18.77"/>
    <n v="2.4"/>
  </r>
  <r>
    <x v="0"/>
    <x v="4"/>
    <x v="1"/>
    <x v="0"/>
    <n v="6390"/>
    <n v="48449"/>
    <n v="309589110"/>
    <n v="2.8000000000000001E-2"/>
    <n v="17.66"/>
    <n v="3.54"/>
  </r>
  <r>
    <x v="0"/>
    <x v="4"/>
    <x v="1"/>
    <x v="1"/>
    <n v="8970"/>
    <n v="63762"/>
    <n v="571945140"/>
    <n v="3.0000000000000001E-3"/>
    <n v="17.66"/>
    <n v="3.54"/>
  </r>
  <r>
    <x v="0"/>
    <x v="4"/>
    <x v="1"/>
    <x v="2"/>
    <n v="9788"/>
    <n v="58190"/>
    <n v="569563720"/>
    <n v="3.1E-2"/>
    <n v="17.66"/>
    <n v="3.54"/>
  </r>
  <r>
    <x v="0"/>
    <x v="4"/>
    <x v="1"/>
    <x v="3"/>
    <n v="11099"/>
    <n v="69712"/>
    <n v="773733488"/>
    <n v="1.2E-2"/>
    <n v="17.66"/>
    <n v="3.54"/>
  </r>
  <r>
    <x v="0"/>
    <x v="4"/>
    <x v="1"/>
    <x v="4"/>
    <n v="4457"/>
    <n v="91997"/>
    <n v="410030629"/>
    <n v="1.7999999999999999E-2"/>
    <n v="17.66"/>
    <n v="3.54"/>
  </r>
  <r>
    <x v="0"/>
    <x v="4"/>
    <x v="1"/>
    <x v="5"/>
    <n v="5877"/>
    <n v="65151"/>
    <n v="382892427"/>
    <n v="2.8000000000000001E-2"/>
    <n v="17.66"/>
    <n v="3.54"/>
  </r>
  <r>
    <x v="0"/>
    <x v="4"/>
    <x v="1"/>
    <x v="6"/>
    <n v="6192"/>
    <n v="75626"/>
    <n v="468276192"/>
    <n v="-3.0000000000000001E-3"/>
    <n v="17.66"/>
    <n v="3.54"/>
  </r>
  <r>
    <x v="0"/>
    <x v="4"/>
    <x v="1"/>
    <x v="7"/>
    <n v="3516"/>
    <n v="42601"/>
    <n v="149785116"/>
    <n v="3.4000000000000002E-2"/>
    <n v="17.66"/>
    <n v="3.54"/>
  </r>
  <r>
    <x v="0"/>
    <x v="4"/>
    <x v="2"/>
    <x v="0"/>
    <n v="10610"/>
    <n v="48597"/>
    <n v="515614170"/>
    <n v="2.1999999999999999E-2"/>
    <n v="18.34"/>
    <n v="3.34"/>
  </r>
  <r>
    <x v="0"/>
    <x v="4"/>
    <x v="2"/>
    <x v="1"/>
    <n v="3439"/>
    <n v="63068"/>
    <n v="216890852"/>
    <n v="2.1999999999999999E-2"/>
    <n v="18.34"/>
    <n v="3.34"/>
  </r>
  <r>
    <x v="0"/>
    <x v="4"/>
    <x v="2"/>
    <x v="2"/>
    <n v="3277"/>
    <n v="57857"/>
    <n v="189597389"/>
    <n v="1.6E-2"/>
    <n v="18.34"/>
    <n v="3.34"/>
  </r>
  <r>
    <x v="0"/>
    <x v="4"/>
    <x v="2"/>
    <x v="3"/>
    <n v="6756"/>
    <n v="68658"/>
    <n v="463853448"/>
    <n v="1.6E-2"/>
    <n v="18.34"/>
    <n v="3.34"/>
  </r>
  <r>
    <x v="0"/>
    <x v="4"/>
    <x v="2"/>
    <x v="4"/>
    <n v="4146"/>
    <n v="93230"/>
    <n v="386531580"/>
    <n v="0.03"/>
    <n v="18.34"/>
    <n v="3.34"/>
  </r>
  <r>
    <x v="0"/>
    <x v="4"/>
    <x v="2"/>
    <x v="5"/>
    <n v="8427"/>
    <n v="64900"/>
    <n v="546912300"/>
    <n v="1.4999999999999999E-2"/>
    <n v="18.34"/>
    <n v="3.34"/>
  </r>
  <r>
    <x v="0"/>
    <x v="4"/>
    <x v="2"/>
    <x v="6"/>
    <n v="8416"/>
    <n v="76719"/>
    <n v="645667104"/>
    <n v="2.1000000000000001E-2"/>
    <n v="18.34"/>
    <n v="3.34"/>
  </r>
  <r>
    <x v="0"/>
    <x v="4"/>
    <x v="2"/>
    <x v="7"/>
    <n v="4627"/>
    <n v="42891"/>
    <n v="198456657"/>
    <n v="4.4999999999999998E-2"/>
    <n v="18.34"/>
    <n v="3.34"/>
  </r>
  <r>
    <x v="0"/>
    <x v="4"/>
    <x v="3"/>
    <x v="0"/>
    <n v="4385"/>
    <n v="48070"/>
    <n v="210786950"/>
    <n v="8.0000000000000002E-3"/>
    <n v="6.43"/>
    <n v="4.33"/>
  </r>
  <r>
    <x v="0"/>
    <x v="4"/>
    <x v="3"/>
    <x v="1"/>
    <n v="3148"/>
    <n v="60345"/>
    <n v="189966060"/>
    <n v="1.2999999999999999E-2"/>
    <n v="6.43"/>
    <n v="4.33"/>
  </r>
  <r>
    <x v="0"/>
    <x v="4"/>
    <x v="3"/>
    <x v="2"/>
    <n v="10501"/>
    <n v="59005"/>
    <n v="619611505"/>
    <n v="2.3E-2"/>
    <n v="6.43"/>
    <n v="4.33"/>
  </r>
  <r>
    <x v="0"/>
    <x v="4"/>
    <x v="3"/>
    <x v="3"/>
    <n v="3309"/>
    <n v="70040"/>
    <n v="231762360"/>
    <n v="8.9999999999999993E-3"/>
    <n v="6.43"/>
    <n v="4.33"/>
  </r>
  <r>
    <x v="0"/>
    <x v="4"/>
    <x v="3"/>
    <x v="4"/>
    <n v="9775"/>
    <n v="93051"/>
    <n v="909573525"/>
    <n v="2.5999999999999999E-2"/>
    <n v="6.43"/>
    <n v="4.33"/>
  </r>
  <r>
    <x v="0"/>
    <x v="4"/>
    <x v="3"/>
    <x v="5"/>
    <n v="6603"/>
    <n v="66055"/>
    <n v="436161165"/>
    <n v="3.5999999999999997E-2"/>
    <n v="6.43"/>
    <n v="4.33"/>
  </r>
  <r>
    <x v="0"/>
    <x v="4"/>
    <x v="3"/>
    <x v="6"/>
    <n v="6057"/>
    <n v="73603"/>
    <n v="445813371"/>
    <n v="1.2E-2"/>
    <n v="6.43"/>
    <n v="4.33"/>
  </r>
  <r>
    <x v="0"/>
    <x v="4"/>
    <x v="3"/>
    <x v="7"/>
    <n v="8097"/>
    <n v="41013"/>
    <n v="332082261"/>
    <n v="2.5000000000000001E-2"/>
    <n v="6.43"/>
    <n v="4.33"/>
  </r>
  <r>
    <x v="0"/>
    <x v="5"/>
    <x v="0"/>
    <x v="0"/>
    <n v="13086"/>
    <n v="46566"/>
    <n v="609362676"/>
    <n v="1.4999999999999999E-2"/>
    <n v="15.16"/>
    <n v="2.67"/>
  </r>
  <r>
    <x v="0"/>
    <x v="5"/>
    <x v="0"/>
    <x v="1"/>
    <n v="9915"/>
    <n v="60935"/>
    <n v="604170525"/>
    <n v="0.03"/>
    <n v="15.16"/>
    <n v="2.67"/>
  </r>
  <r>
    <x v="0"/>
    <x v="5"/>
    <x v="0"/>
    <x v="2"/>
    <n v="5728"/>
    <n v="56201"/>
    <n v="321919328"/>
    <n v="3.4000000000000002E-2"/>
    <n v="15.16"/>
    <n v="2.67"/>
  </r>
  <r>
    <x v="0"/>
    <x v="5"/>
    <x v="0"/>
    <x v="3"/>
    <n v="6607"/>
    <n v="69360"/>
    <n v="458261520"/>
    <n v="1.2999999999999999E-2"/>
    <n v="15.16"/>
    <n v="2.67"/>
  </r>
  <r>
    <x v="0"/>
    <x v="5"/>
    <x v="0"/>
    <x v="4"/>
    <n v="7383"/>
    <n v="92291"/>
    <n v="681384453"/>
    <n v="1.0999999999999999E-2"/>
    <n v="15.16"/>
    <n v="2.67"/>
  </r>
  <r>
    <x v="0"/>
    <x v="5"/>
    <x v="0"/>
    <x v="5"/>
    <n v="3339"/>
    <n v="64625"/>
    <n v="215782875"/>
    <n v="2.1999999999999999E-2"/>
    <n v="15.16"/>
    <n v="2.67"/>
  </r>
  <r>
    <x v="0"/>
    <x v="5"/>
    <x v="0"/>
    <x v="6"/>
    <n v="11520"/>
    <n v="73417"/>
    <n v="845763840"/>
    <n v="7.0000000000000001E-3"/>
    <n v="15.16"/>
    <n v="2.67"/>
  </r>
  <r>
    <x v="0"/>
    <x v="5"/>
    <x v="0"/>
    <x v="7"/>
    <n v="9889"/>
    <n v="43600"/>
    <n v="431160400"/>
    <n v="7.0000000000000001E-3"/>
    <n v="15.16"/>
    <n v="2.67"/>
  </r>
  <r>
    <x v="0"/>
    <x v="5"/>
    <x v="1"/>
    <x v="0"/>
    <n v="4075"/>
    <n v="46709"/>
    <n v="190339175"/>
    <n v="0.02"/>
    <n v="20.39"/>
    <n v="2.56"/>
  </r>
  <r>
    <x v="0"/>
    <x v="5"/>
    <x v="1"/>
    <x v="1"/>
    <n v="6679"/>
    <n v="61879"/>
    <n v="413289841"/>
    <n v="7.0000000000000001E-3"/>
    <n v="20.39"/>
    <n v="2.56"/>
  </r>
  <r>
    <x v="0"/>
    <x v="5"/>
    <x v="1"/>
    <x v="2"/>
    <n v="9702"/>
    <n v="58713"/>
    <n v="569633526"/>
    <n v="1.2999999999999999E-2"/>
    <n v="20.39"/>
    <n v="2.56"/>
  </r>
  <r>
    <x v="0"/>
    <x v="5"/>
    <x v="1"/>
    <x v="3"/>
    <n v="8896"/>
    <n v="70120"/>
    <n v="623787520"/>
    <n v="2.9000000000000001E-2"/>
    <n v="20.39"/>
    <n v="2.56"/>
  </r>
  <r>
    <x v="0"/>
    <x v="5"/>
    <x v="1"/>
    <x v="4"/>
    <n v="3812"/>
    <n v="90147"/>
    <n v="343640364"/>
    <n v="0.02"/>
    <n v="20.39"/>
    <n v="2.56"/>
  </r>
  <r>
    <x v="0"/>
    <x v="5"/>
    <x v="1"/>
    <x v="5"/>
    <n v="6821"/>
    <n v="63341"/>
    <n v="432048961"/>
    <n v="2.4E-2"/>
    <n v="20.39"/>
    <n v="2.56"/>
  </r>
  <r>
    <x v="0"/>
    <x v="5"/>
    <x v="1"/>
    <x v="6"/>
    <n v="8450"/>
    <n v="74792"/>
    <n v="631992400"/>
    <n v="0.02"/>
    <n v="20.39"/>
    <n v="2.56"/>
  </r>
  <r>
    <x v="0"/>
    <x v="5"/>
    <x v="1"/>
    <x v="7"/>
    <n v="4684"/>
    <n v="43212"/>
    <n v="202405008"/>
    <n v="2.1999999999999999E-2"/>
    <n v="20.39"/>
    <n v="2.56"/>
  </r>
  <r>
    <x v="0"/>
    <x v="5"/>
    <x v="2"/>
    <x v="0"/>
    <n v="5036"/>
    <n v="47500"/>
    <n v="239210000"/>
    <n v="4.2999999999999997E-2"/>
    <n v="19.600000000000001"/>
    <n v="1.64"/>
  </r>
  <r>
    <x v="0"/>
    <x v="5"/>
    <x v="2"/>
    <x v="1"/>
    <n v="12074"/>
    <n v="63215"/>
    <n v="763257910"/>
    <n v="1.4E-2"/>
    <n v="19.600000000000001"/>
    <n v="1.64"/>
  </r>
  <r>
    <x v="0"/>
    <x v="5"/>
    <x v="2"/>
    <x v="2"/>
    <n v="10654"/>
    <n v="56987"/>
    <n v="607139498"/>
    <n v="3.4000000000000002E-2"/>
    <n v="19.600000000000001"/>
    <n v="1.64"/>
  </r>
  <r>
    <x v="0"/>
    <x v="5"/>
    <x v="2"/>
    <x v="3"/>
    <n v="8505"/>
    <n v="69161"/>
    <n v="588214305"/>
    <n v="-7.0000000000000001E-3"/>
    <n v="19.600000000000001"/>
    <n v="1.64"/>
  </r>
  <r>
    <x v="0"/>
    <x v="5"/>
    <x v="2"/>
    <x v="4"/>
    <n v="9126"/>
    <n v="93335"/>
    <n v="851775210"/>
    <n v="1.6E-2"/>
    <n v="19.600000000000001"/>
    <n v="1.64"/>
  </r>
  <r>
    <x v="0"/>
    <x v="5"/>
    <x v="2"/>
    <x v="5"/>
    <n v="11591"/>
    <n v="66714"/>
    <n v="773281974"/>
    <n v="2.1999999999999999E-2"/>
    <n v="19.600000000000001"/>
    <n v="1.64"/>
  </r>
  <r>
    <x v="0"/>
    <x v="5"/>
    <x v="2"/>
    <x v="6"/>
    <n v="8110"/>
    <n v="76451"/>
    <n v="620017610"/>
    <n v="2.8000000000000001E-2"/>
    <n v="19.600000000000001"/>
    <n v="1.64"/>
  </r>
  <r>
    <x v="0"/>
    <x v="5"/>
    <x v="2"/>
    <x v="7"/>
    <n v="2809"/>
    <n v="43547"/>
    <n v="122323523"/>
    <n v="7.0000000000000001E-3"/>
    <n v="19.600000000000001"/>
    <n v="1.64"/>
  </r>
  <r>
    <x v="0"/>
    <x v="5"/>
    <x v="3"/>
    <x v="0"/>
    <n v="12120"/>
    <n v="48626"/>
    <n v="589347120"/>
    <n v="2.1000000000000001E-2"/>
    <n v="5.51"/>
    <n v="4.22"/>
  </r>
  <r>
    <x v="0"/>
    <x v="5"/>
    <x v="3"/>
    <x v="1"/>
    <n v="10689"/>
    <n v="63680"/>
    <n v="680675520"/>
    <n v="1.9E-2"/>
    <n v="5.51"/>
    <n v="4.22"/>
  </r>
  <r>
    <x v="0"/>
    <x v="5"/>
    <x v="3"/>
    <x v="2"/>
    <n v="6792"/>
    <n v="58143"/>
    <n v="394907256"/>
    <n v="1.6E-2"/>
    <n v="5.51"/>
    <n v="4.22"/>
  </r>
  <r>
    <x v="0"/>
    <x v="5"/>
    <x v="3"/>
    <x v="3"/>
    <n v="8477"/>
    <n v="70149"/>
    <n v="594653073"/>
    <n v="1.7999999999999999E-2"/>
    <n v="5.51"/>
    <n v="4.22"/>
  </r>
  <r>
    <x v="0"/>
    <x v="5"/>
    <x v="3"/>
    <x v="4"/>
    <n v="5541"/>
    <n v="90822"/>
    <n v="503244702"/>
    <n v="1.7000000000000001E-2"/>
    <n v="5.51"/>
    <n v="4.22"/>
  </r>
  <r>
    <x v="0"/>
    <x v="5"/>
    <x v="3"/>
    <x v="5"/>
    <n v="3787"/>
    <n v="65001"/>
    <n v="246158787"/>
    <n v="8.9999999999999993E-3"/>
    <n v="5.51"/>
    <n v="4.22"/>
  </r>
  <r>
    <x v="0"/>
    <x v="5"/>
    <x v="3"/>
    <x v="6"/>
    <n v="9515"/>
    <n v="76156"/>
    <n v="724624340"/>
    <n v="3.4000000000000002E-2"/>
    <n v="5.51"/>
    <n v="4.22"/>
  </r>
  <r>
    <x v="0"/>
    <x v="5"/>
    <x v="3"/>
    <x v="7"/>
    <n v="7416"/>
    <n v="43695"/>
    <n v="324042120"/>
    <n v="2.8000000000000001E-2"/>
    <n v="5.51"/>
    <n v="4.22"/>
  </r>
  <r>
    <x v="0"/>
    <x v="6"/>
    <x v="0"/>
    <x v="0"/>
    <n v="10644"/>
    <n v="49594"/>
    <n v="527878536"/>
    <n v="2.1999999999999999E-2"/>
    <n v="16.95"/>
    <n v="3.33"/>
  </r>
  <r>
    <x v="0"/>
    <x v="6"/>
    <x v="0"/>
    <x v="1"/>
    <n v="6973"/>
    <n v="63070"/>
    <n v="439787110"/>
    <n v="2.7E-2"/>
    <n v="16.95"/>
    <n v="3.33"/>
  </r>
  <r>
    <x v="0"/>
    <x v="6"/>
    <x v="0"/>
    <x v="2"/>
    <n v="3713"/>
    <n v="57555"/>
    <n v="213701715"/>
    <n v="1.7000000000000001E-2"/>
    <n v="16.95"/>
    <n v="3.33"/>
  </r>
  <r>
    <x v="0"/>
    <x v="6"/>
    <x v="0"/>
    <x v="3"/>
    <n v="3138"/>
    <n v="67933"/>
    <n v="213173754"/>
    <n v="1.9E-2"/>
    <n v="16.95"/>
    <n v="3.33"/>
  </r>
  <r>
    <x v="0"/>
    <x v="6"/>
    <x v="0"/>
    <x v="4"/>
    <n v="3590"/>
    <n v="92987"/>
    <n v="333823330"/>
    <n v="-1E-3"/>
    <n v="16.95"/>
    <n v="3.33"/>
  </r>
  <r>
    <x v="0"/>
    <x v="6"/>
    <x v="0"/>
    <x v="5"/>
    <n v="8061"/>
    <n v="64523"/>
    <n v="520119903"/>
    <n v="3.6999999999999998E-2"/>
    <n v="16.95"/>
    <n v="3.33"/>
  </r>
  <r>
    <x v="0"/>
    <x v="6"/>
    <x v="0"/>
    <x v="6"/>
    <n v="3692"/>
    <n v="73127"/>
    <n v="269984884"/>
    <n v="0.03"/>
    <n v="16.95"/>
    <n v="3.33"/>
  </r>
  <r>
    <x v="0"/>
    <x v="6"/>
    <x v="0"/>
    <x v="7"/>
    <n v="6964"/>
    <n v="42768"/>
    <n v="297836352"/>
    <n v="0.02"/>
    <n v="16.95"/>
    <n v="3.33"/>
  </r>
  <r>
    <x v="0"/>
    <x v="6"/>
    <x v="1"/>
    <x v="0"/>
    <n v="6206"/>
    <n v="47781"/>
    <n v="296528886"/>
    <n v="7.0000000000000001E-3"/>
    <n v="19.190000000000001"/>
    <n v="5.28"/>
  </r>
  <r>
    <x v="0"/>
    <x v="6"/>
    <x v="1"/>
    <x v="1"/>
    <n v="3610"/>
    <n v="63306"/>
    <n v="228534660"/>
    <n v="2.7E-2"/>
    <n v="19.190000000000001"/>
    <n v="5.28"/>
  </r>
  <r>
    <x v="0"/>
    <x v="6"/>
    <x v="1"/>
    <x v="2"/>
    <n v="4788"/>
    <n v="59180"/>
    <n v="283353840"/>
    <n v="0.02"/>
    <n v="19.190000000000001"/>
    <n v="5.28"/>
  </r>
  <r>
    <x v="0"/>
    <x v="6"/>
    <x v="1"/>
    <x v="3"/>
    <n v="10921"/>
    <n v="67074"/>
    <n v="732515154"/>
    <n v="2.3E-2"/>
    <n v="19.190000000000001"/>
    <n v="5.28"/>
  </r>
  <r>
    <x v="0"/>
    <x v="6"/>
    <x v="1"/>
    <x v="4"/>
    <n v="9006"/>
    <n v="93088"/>
    <n v="838350528"/>
    <n v="4.0000000000000001E-3"/>
    <n v="19.190000000000001"/>
    <n v="5.28"/>
  </r>
  <r>
    <x v="0"/>
    <x v="6"/>
    <x v="1"/>
    <x v="5"/>
    <n v="7881"/>
    <n v="66224"/>
    <n v="521911344"/>
    <n v="2.5999999999999999E-2"/>
    <n v="19.190000000000001"/>
    <n v="5.28"/>
  </r>
  <r>
    <x v="0"/>
    <x v="6"/>
    <x v="1"/>
    <x v="6"/>
    <n v="9158"/>
    <n v="76945"/>
    <n v="704662310"/>
    <n v="1.4999999999999999E-2"/>
    <n v="19.190000000000001"/>
    <n v="5.28"/>
  </r>
  <r>
    <x v="0"/>
    <x v="6"/>
    <x v="1"/>
    <x v="7"/>
    <n v="2698"/>
    <n v="42074"/>
    <n v="113515652"/>
    <n v="2.5000000000000001E-2"/>
    <n v="19.190000000000001"/>
    <n v="5.28"/>
  </r>
  <r>
    <x v="0"/>
    <x v="6"/>
    <x v="2"/>
    <x v="0"/>
    <n v="10588"/>
    <n v="49028"/>
    <n v="519108464"/>
    <n v="3.2000000000000001E-2"/>
    <n v="18.66"/>
    <n v="4.62"/>
  </r>
  <r>
    <x v="0"/>
    <x v="6"/>
    <x v="2"/>
    <x v="1"/>
    <n v="9635"/>
    <n v="60701"/>
    <n v="584854135"/>
    <n v="2.3E-2"/>
    <n v="18.66"/>
    <n v="4.62"/>
  </r>
  <r>
    <x v="0"/>
    <x v="6"/>
    <x v="2"/>
    <x v="2"/>
    <n v="4921"/>
    <n v="57845"/>
    <n v="284655245"/>
    <n v="1E-3"/>
    <n v="18.66"/>
    <n v="4.62"/>
  </r>
  <r>
    <x v="0"/>
    <x v="6"/>
    <x v="2"/>
    <x v="3"/>
    <n v="3691"/>
    <n v="70776"/>
    <n v="261234216"/>
    <n v="0.01"/>
    <n v="18.66"/>
    <n v="4.62"/>
  </r>
  <r>
    <x v="0"/>
    <x v="6"/>
    <x v="2"/>
    <x v="4"/>
    <n v="5097"/>
    <n v="90028"/>
    <n v="458872716"/>
    <n v="2.1000000000000001E-2"/>
    <n v="18.66"/>
    <n v="4.62"/>
  </r>
  <r>
    <x v="0"/>
    <x v="6"/>
    <x v="2"/>
    <x v="5"/>
    <n v="10298"/>
    <n v="66850"/>
    <n v="688421300"/>
    <n v="1.7999999999999999E-2"/>
    <n v="18.66"/>
    <n v="4.62"/>
  </r>
  <r>
    <x v="0"/>
    <x v="6"/>
    <x v="2"/>
    <x v="6"/>
    <n v="7519"/>
    <n v="73186"/>
    <n v="550285534"/>
    <n v="2.8000000000000001E-2"/>
    <n v="18.66"/>
    <n v="4.62"/>
  </r>
  <r>
    <x v="0"/>
    <x v="6"/>
    <x v="2"/>
    <x v="7"/>
    <n v="11344"/>
    <n v="41333"/>
    <n v="468881552"/>
    <n v="1.9E-2"/>
    <n v="18.66"/>
    <n v="4.62"/>
  </r>
  <r>
    <x v="0"/>
    <x v="6"/>
    <x v="3"/>
    <x v="0"/>
    <n v="8276"/>
    <n v="46750"/>
    <n v="386903000"/>
    <n v="2E-3"/>
    <n v="6.87"/>
    <n v="5.08"/>
  </r>
  <r>
    <x v="0"/>
    <x v="6"/>
    <x v="3"/>
    <x v="1"/>
    <n v="4048"/>
    <n v="63315"/>
    <n v="256299120"/>
    <n v="1.9E-2"/>
    <n v="6.87"/>
    <n v="5.08"/>
  </r>
  <r>
    <x v="0"/>
    <x v="6"/>
    <x v="3"/>
    <x v="2"/>
    <n v="9120"/>
    <n v="58120"/>
    <n v="530054400"/>
    <n v="1.4999999999999999E-2"/>
    <n v="6.87"/>
    <n v="5.08"/>
  </r>
  <r>
    <x v="0"/>
    <x v="6"/>
    <x v="3"/>
    <x v="3"/>
    <n v="4600"/>
    <n v="68040"/>
    <n v="312984000"/>
    <n v="4.2999999999999997E-2"/>
    <n v="6.87"/>
    <n v="5.08"/>
  </r>
  <r>
    <x v="0"/>
    <x v="6"/>
    <x v="3"/>
    <x v="4"/>
    <n v="7847"/>
    <n v="92089"/>
    <n v="722622383"/>
    <n v="0.04"/>
    <n v="6.87"/>
    <n v="5.08"/>
  </r>
  <r>
    <x v="0"/>
    <x v="6"/>
    <x v="3"/>
    <x v="5"/>
    <n v="9946"/>
    <n v="63130"/>
    <n v="627890980"/>
    <n v="0.02"/>
    <n v="6.87"/>
    <n v="5.08"/>
  </r>
  <r>
    <x v="0"/>
    <x v="6"/>
    <x v="3"/>
    <x v="6"/>
    <n v="3564"/>
    <n v="75864"/>
    <n v="270379296"/>
    <n v="0.03"/>
    <n v="6.87"/>
    <n v="5.08"/>
  </r>
  <r>
    <x v="0"/>
    <x v="6"/>
    <x v="3"/>
    <x v="7"/>
    <n v="5228"/>
    <n v="41040"/>
    <n v="214557120"/>
    <n v="1.4E-2"/>
    <n v="6.87"/>
    <n v="5.08"/>
  </r>
  <r>
    <x v="0"/>
    <x v="7"/>
    <x v="0"/>
    <x v="0"/>
    <n v="3648"/>
    <n v="47508"/>
    <n v="173309184"/>
    <n v="3.3000000000000002E-2"/>
    <n v="15.3"/>
    <n v="2.93"/>
  </r>
  <r>
    <x v="0"/>
    <x v="7"/>
    <x v="0"/>
    <x v="1"/>
    <n v="4674"/>
    <n v="63023"/>
    <n v="294569502"/>
    <n v="2.7E-2"/>
    <n v="15.3"/>
    <n v="2.93"/>
  </r>
  <r>
    <x v="0"/>
    <x v="7"/>
    <x v="0"/>
    <x v="2"/>
    <n v="10830"/>
    <n v="56488"/>
    <n v="611765040"/>
    <n v="3.4000000000000002E-2"/>
    <n v="15.3"/>
    <n v="2.93"/>
  </r>
  <r>
    <x v="0"/>
    <x v="7"/>
    <x v="0"/>
    <x v="3"/>
    <n v="10016"/>
    <n v="68561"/>
    <n v="686706976"/>
    <n v="0.03"/>
    <n v="15.3"/>
    <n v="2.93"/>
  </r>
  <r>
    <x v="0"/>
    <x v="7"/>
    <x v="0"/>
    <x v="4"/>
    <n v="10201"/>
    <n v="90400"/>
    <n v="922170400"/>
    <n v="2.1000000000000001E-2"/>
    <n v="15.3"/>
    <n v="2.93"/>
  </r>
  <r>
    <x v="0"/>
    <x v="7"/>
    <x v="0"/>
    <x v="5"/>
    <n v="7992"/>
    <n v="66028"/>
    <n v="527695776"/>
    <n v="1.4999999999999999E-2"/>
    <n v="15.3"/>
    <n v="2.93"/>
  </r>
  <r>
    <x v="0"/>
    <x v="7"/>
    <x v="0"/>
    <x v="6"/>
    <n v="5374"/>
    <n v="75735"/>
    <n v="406999890"/>
    <n v="8.9999999999999993E-3"/>
    <n v="15.3"/>
    <n v="2.93"/>
  </r>
  <r>
    <x v="0"/>
    <x v="7"/>
    <x v="0"/>
    <x v="7"/>
    <n v="9981"/>
    <n v="41521"/>
    <n v="414421101"/>
    <n v="3.1E-2"/>
    <n v="15.3"/>
    <n v="2.93"/>
  </r>
  <r>
    <x v="0"/>
    <x v="7"/>
    <x v="1"/>
    <x v="0"/>
    <n v="4673"/>
    <n v="49561"/>
    <n v="231598553"/>
    <n v="1.4999999999999999E-2"/>
    <n v="19.22"/>
    <n v="4.3600000000000003"/>
  </r>
  <r>
    <x v="0"/>
    <x v="7"/>
    <x v="1"/>
    <x v="1"/>
    <n v="2958"/>
    <n v="61296"/>
    <n v="181313568"/>
    <n v="2.9000000000000001E-2"/>
    <n v="19.22"/>
    <n v="4.3600000000000003"/>
  </r>
  <r>
    <x v="0"/>
    <x v="7"/>
    <x v="1"/>
    <x v="2"/>
    <n v="9683"/>
    <n v="58235"/>
    <n v="563889505"/>
    <n v="6.0000000000000001E-3"/>
    <n v="19.22"/>
    <n v="4.3600000000000003"/>
  </r>
  <r>
    <x v="0"/>
    <x v="7"/>
    <x v="1"/>
    <x v="3"/>
    <n v="9956"/>
    <n v="68121"/>
    <n v="678212676"/>
    <n v="2.5000000000000001E-2"/>
    <n v="19.22"/>
    <n v="4.3600000000000003"/>
  </r>
  <r>
    <x v="0"/>
    <x v="7"/>
    <x v="1"/>
    <x v="4"/>
    <n v="2498"/>
    <n v="90182"/>
    <n v="225274636"/>
    <n v="0.01"/>
    <n v="19.22"/>
    <n v="4.3600000000000003"/>
  </r>
  <r>
    <x v="0"/>
    <x v="7"/>
    <x v="1"/>
    <x v="5"/>
    <n v="9144"/>
    <n v="63363"/>
    <n v="579391272"/>
    <n v="3.3000000000000002E-2"/>
    <n v="19.22"/>
    <n v="4.3600000000000003"/>
  </r>
  <r>
    <x v="0"/>
    <x v="7"/>
    <x v="1"/>
    <x v="6"/>
    <n v="10193"/>
    <n v="74372"/>
    <n v="758073796"/>
    <n v="2.4E-2"/>
    <n v="19.22"/>
    <n v="4.3600000000000003"/>
  </r>
  <r>
    <x v="0"/>
    <x v="7"/>
    <x v="1"/>
    <x v="7"/>
    <n v="3249"/>
    <n v="43468"/>
    <n v="141227532"/>
    <n v="1E-3"/>
    <n v="19.22"/>
    <n v="4.3600000000000003"/>
  </r>
  <r>
    <x v="0"/>
    <x v="7"/>
    <x v="2"/>
    <x v="0"/>
    <n v="10451"/>
    <n v="46250"/>
    <n v="483358750"/>
    <n v="2.3E-2"/>
    <n v="18.309999999999999"/>
    <n v="3.87"/>
  </r>
  <r>
    <x v="0"/>
    <x v="7"/>
    <x v="2"/>
    <x v="1"/>
    <n v="5994"/>
    <n v="61914"/>
    <n v="371112516"/>
    <n v="0.02"/>
    <n v="18.309999999999999"/>
    <n v="3.87"/>
  </r>
  <r>
    <x v="0"/>
    <x v="7"/>
    <x v="2"/>
    <x v="2"/>
    <n v="9220"/>
    <n v="57771"/>
    <n v="532648620"/>
    <n v="4.5999999999999999E-2"/>
    <n v="18.309999999999999"/>
    <n v="3.87"/>
  </r>
  <r>
    <x v="0"/>
    <x v="7"/>
    <x v="2"/>
    <x v="3"/>
    <n v="11356"/>
    <n v="69424"/>
    <n v="788378944"/>
    <n v="1.2999999999999999E-2"/>
    <n v="18.309999999999999"/>
    <n v="3.87"/>
  </r>
  <r>
    <x v="0"/>
    <x v="7"/>
    <x v="2"/>
    <x v="4"/>
    <n v="6517"/>
    <n v="90339"/>
    <n v="588739263"/>
    <n v="1.7000000000000001E-2"/>
    <n v="18.309999999999999"/>
    <n v="3.87"/>
  </r>
  <r>
    <x v="0"/>
    <x v="7"/>
    <x v="2"/>
    <x v="5"/>
    <n v="5947"/>
    <n v="65050"/>
    <n v="386852350"/>
    <n v="1.2999999999999999E-2"/>
    <n v="18.309999999999999"/>
    <n v="3.87"/>
  </r>
  <r>
    <x v="0"/>
    <x v="7"/>
    <x v="2"/>
    <x v="6"/>
    <n v="3481"/>
    <n v="73145"/>
    <n v="254617745"/>
    <n v="2.8000000000000001E-2"/>
    <n v="18.309999999999999"/>
    <n v="3.87"/>
  </r>
  <r>
    <x v="0"/>
    <x v="7"/>
    <x v="2"/>
    <x v="7"/>
    <n v="6543"/>
    <n v="43736"/>
    <n v="286164648"/>
    <n v="1.4999999999999999E-2"/>
    <n v="18.309999999999999"/>
    <n v="3.87"/>
  </r>
  <r>
    <x v="0"/>
    <x v="7"/>
    <x v="3"/>
    <x v="0"/>
    <n v="6644"/>
    <n v="49211"/>
    <n v="326957884"/>
    <n v="3.5999999999999997E-2"/>
    <n v="5.09"/>
    <n v="3.46"/>
  </r>
  <r>
    <x v="0"/>
    <x v="7"/>
    <x v="3"/>
    <x v="1"/>
    <n v="4111"/>
    <n v="62108"/>
    <n v="255325988"/>
    <n v="0.01"/>
    <n v="5.09"/>
    <n v="3.46"/>
  </r>
  <r>
    <x v="0"/>
    <x v="7"/>
    <x v="3"/>
    <x v="2"/>
    <n v="11048"/>
    <n v="59390"/>
    <n v="656140720"/>
    <n v="2.3E-2"/>
    <n v="5.09"/>
    <n v="3.46"/>
  </r>
  <r>
    <x v="0"/>
    <x v="7"/>
    <x v="3"/>
    <x v="3"/>
    <n v="10166"/>
    <n v="68085"/>
    <n v="692152110"/>
    <n v="2.1000000000000001E-2"/>
    <n v="5.09"/>
    <n v="3.46"/>
  </r>
  <r>
    <x v="0"/>
    <x v="7"/>
    <x v="3"/>
    <x v="4"/>
    <n v="4149"/>
    <n v="93932"/>
    <n v="389723868"/>
    <n v="1.9E-2"/>
    <n v="5.09"/>
    <n v="3.46"/>
  </r>
  <r>
    <x v="0"/>
    <x v="7"/>
    <x v="3"/>
    <x v="5"/>
    <n v="7532"/>
    <n v="63884"/>
    <n v="481174288"/>
    <n v="1.2999999999999999E-2"/>
    <n v="5.09"/>
    <n v="3.46"/>
  </r>
  <r>
    <x v="0"/>
    <x v="7"/>
    <x v="3"/>
    <x v="6"/>
    <n v="5760"/>
    <n v="75553"/>
    <n v="435185280"/>
    <n v="1.6E-2"/>
    <n v="5.09"/>
    <n v="3.46"/>
  </r>
  <r>
    <x v="0"/>
    <x v="7"/>
    <x v="3"/>
    <x v="7"/>
    <n v="8456"/>
    <n v="41911"/>
    <n v="354399416"/>
    <n v="1.9E-2"/>
    <n v="5.09"/>
    <n v="3.46"/>
  </r>
  <r>
    <x v="0"/>
    <x v="8"/>
    <x v="0"/>
    <x v="0"/>
    <n v="5759"/>
    <n v="47776"/>
    <n v="275141984"/>
    <n v="4.4999999999999998E-2"/>
    <n v="20.78"/>
    <n v="2.5"/>
  </r>
  <r>
    <x v="0"/>
    <x v="8"/>
    <x v="0"/>
    <x v="1"/>
    <n v="11172"/>
    <n v="62466"/>
    <n v="697870152"/>
    <n v="2.5000000000000001E-2"/>
    <n v="20.78"/>
    <n v="2.5"/>
  </r>
  <r>
    <x v="0"/>
    <x v="8"/>
    <x v="0"/>
    <x v="2"/>
    <n v="12695"/>
    <n v="56159"/>
    <n v="712938505"/>
    <n v="1.2E-2"/>
    <n v="20.78"/>
    <n v="2.5"/>
  </r>
  <r>
    <x v="0"/>
    <x v="8"/>
    <x v="0"/>
    <x v="3"/>
    <n v="11446"/>
    <n v="67780"/>
    <n v="775809880"/>
    <n v="2.5000000000000001E-2"/>
    <n v="20.78"/>
    <n v="2.5"/>
  </r>
  <r>
    <x v="0"/>
    <x v="8"/>
    <x v="0"/>
    <x v="4"/>
    <n v="10765"/>
    <n v="92682"/>
    <n v="997721730"/>
    <n v="-2E-3"/>
    <n v="20.78"/>
    <n v="2.5"/>
  </r>
  <r>
    <x v="0"/>
    <x v="8"/>
    <x v="0"/>
    <x v="5"/>
    <n v="12846"/>
    <n v="66612"/>
    <n v="855697752"/>
    <n v="1.0999999999999999E-2"/>
    <n v="20.78"/>
    <n v="2.5"/>
  </r>
  <r>
    <x v="0"/>
    <x v="8"/>
    <x v="0"/>
    <x v="6"/>
    <n v="4089"/>
    <n v="76332"/>
    <n v="312121548"/>
    <n v="2.5000000000000001E-2"/>
    <n v="20.78"/>
    <n v="2.5"/>
  </r>
  <r>
    <x v="0"/>
    <x v="8"/>
    <x v="0"/>
    <x v="7"/>
    <n v="3799"/>
    <n v="43297"/>
    <n v="164485303"/>
    <n v="3.1E-2"/>
    <n v="20.78"/>
    <n v="2.5"/>
  </r>
  <r>
    <x v="0"/>
    <x v="8"/>
    <x v="1"/>
    <x v="0"/>
    <n v="7119"/>
    <n v="46036"/>
    <n v="327730284"/>
    <n v="0.02"/>
    <n v="15.82"/>
    <n v="1.25"/>
  </r>
  <r>
    <x v="0"/>
    <x v="8"/>
    <x v="1"/>
    <x v="1"/>
    <n v="6072"/>
    <n v="60795"/>
    <n v="369147240"/>
    <n v="1.4E-2"/>
    <n v="15.82"/>
    <n v="1.25"/>
  </r>
  <r>
    <x v="0"/>
    <x v="8"/>
    <x v="1"/>
    <x v="2"/>
    <n v="7189"/>
    <n v="58162"/>
    <n v="418126618"/>
    <n v="0.02"/>
    <n v="15.82"/>
    <n v="1.25"/>
  </r>
  <r>
    <x v="0"/>
    <x v="8"/>
    <x v="1"/>
    <x v="3"/>
    <n v="5769"/>
    <n v="68346"/>
    <n v="394288074"/>
    <n v="0.03"/>
    <n v="15.82"/>
    <n v="1.25"/>
  </r>
  <r>
    <x v="0"/>
    <x v="8"/>
    <x v="1"/>
    <x v="4"/>
    <n v="4500"/>
    <n v="91996"/>
    <n v="413982000"/>
    <n v="2.5000000000000001E-2"/>
    <n v="15.82"/>
    <n v="1.25"/>
  </r>
  <r>
    <x v="0"/>
    <x v="8"/>
    <x v="1"/>
    <x v="5"/>
    <n v="4193"/>
    <n v="64285"/>
    <n v="269547005"/>
    <n v="0.04"/>
    <n v="15.82"/>
    <n v="1.25"/>
  </r>
  <r>
    <x v="0"/>
    <x v="8"/>
    <x v="1"/>
    <x v="6"/>
    <n v="7492"/>
    <n v="75400"/>
    <n v="564896800"/>
    <n v="2.5999999999999999E-2"/>
    <n v="15.82"/>
    <n v="1.25"/>
  </r>
  <r>
    <x v="0"/>
    <x v="8"/>
    <x v="1"/>
    <x v="7"/>
    <n v="4624"/>
    <n v="42828"/>
    <n v="198036672"/>
    <n v="3.1E-2"/>
    <n v="15.82"/>
    <n v="1.25"/>
  </r>
  <r>
    <x v="0"/>
    <x v="8"/>
    <x v="2"/>
    <x v="0"/>
    <n v="7464"/>
    <n v="48180"/>
    <n v="359615520"/>
    <n v="1.0999999999999999E-2"/>
    <n v="18.760000000000002"/>
    <n v="3.5"/>
  </r>
  <r>
    <x v="0"/>
    <x v="8"/>
    <x v="2"/>
    <x v="1"/>
    <n v="3361"/>
    <n v="60825"/>
    <n v="204432825"/>
    <n v="2.5999999999999999E-2"/>
    <n v="18.760000000000002"/>
    <n v="3.5"/>
  </r>
  <r>
    <x v="0"/>
    <x v="8"/>
    <x v="2"/>
    <x v="2"/>
    <n v="5838"/>
    <n v="59741"/>
    <n v="348767958"/>
    <n v="1.6E-2"/>
    <n v="18.760000000000002"/>
    <n v="3.5"/>
  </r>
  <r>
    <x v="0"/>
    <x v="8"/>
    <x v="2"/>
    <x v="3"/>
    <n v="7147"/>
    <n v="69129"/>
    <n v="494064963"/>
    <n v="1.2E-2"/>
    <n v="18.760000000000002"/>
    <n v="3.5"/>
  </r>
  <r>
    <x v="0"/>
    <x v="8"/>
    <x v="2"/>
    <x v="4"/>
    <n v="5393"/>
    <n v="91547"/>
    <n v="493712971"/>
    <n v="3.5999999999999997E-2"/>
    <n v="18.760000000000002"/>
    <n v="3.5"/>
  </r>
  <r>
    <x v="0"/>
    <x v="8"/>
    <x v="2"/>
    <x v="5"/>
    <n v="3073"/>
    <n v="64985"/>
    <n v="199698905"/>
    <n v="2.3E-2"/>
    <n v="18.760000000000002"/>
    <n v="3.5"/>
  </r>
  <r>
    <x v="0"/>
    <x v="8"/>
    <x v="2"/>
    <x v="6"/>
    <n v="8627"/>
    <n v="74256"/>
    <n v="640606512"/>
    <n v="1.7999999999999999E-2"/>
    <n v="18.760000000000002"/>
    <n v="3.5"/>
  </r>
  <r>
    <x v="0"/>
    <x v="8"/>
    <x v="2"/>
    <x v="7"/>
    <n v="5020"/>
    <n v="40359"/>
    <n v="202602180"/>
    <n v="1.4E-2"/>
    <n v="18.760000000000002"/>
    <n v="3.5"/>
  </r>
  <r>
    <x v="0"/>
    <x v="8"/>
    <x v="3"/>
    <x v="0"/>
    <n v="3857"/>
    <n v="46585"/>
    <n v="179678345"/>
    <n v="2.3E-2"/>
    <n v="6.08"/>
    <n v="3.75"/>
  </r>
  <r>
    <x v="0"/>
    <x v="8"/>
    <x v="3"/>
    <x v="1"/>
    <n v="8637"/>
    <n v="61247"/>
    <n v="528990339"/>
    <n v="1.6E-2"/>
    <n v="6.08"/>
    <n v="3.75"/>
  </r>
  <r>
    <x v="0"/>
    <x v="8"/>
    <x v="3"/>
    <x v="2"/>
    <n v="4328"/>
    <n v="56988"/>
    <n v="246644064"/>
    <n v="2.5999999999999999E-2"/>
    <n v="6.08"/>
    <n v="3.75"/>
  </r>
  <r>
    <x v="0"/>
    <x v="8"/>
    <x v="3"/>
    <x v="3"/>
    <n v="3054"/>
    <n v="68219"/>
    <n v="208340826"/>
    <n v="2.1999999999999999E-2"/>
    <n v="6.08"/>
    <n v="3.75"/>
  </r>
  <r>
    <x v="0"/>
    <x v="8"/>
    <x v="3"/>
    <x v="4"/>
    <n v="10514"/>
    <n v="90730"/>
    <n v="953935220"/>
    <n v="1.6E-2"/>
    <n v="6.08"/>
    <n v="3.75"/>
  </r>
  <r>
    <x v="0"/>
    <x v="8"/>
    <x v="3"/>
    <x v="5"/>
    <n v="3894"/>
    <n v="65571"/>
    <n v="255333474"/>
    <n v="2.1999999999999999E-2"/>
    <n v="6.08"/>
    <n v="3.75"/>
  </r>
  <r>
    <x v="0"/>
    <x v="8"/>
    <x v="3"/>
    <x v="6"/>
    <n v="12769"/>
    <n v="73021"/>
    <n v="932405149"/>
    <n v="1.7999999999999999E-2"/>
    <n v="6.08"/>
    <n v="3.75"/>
  </r>
  <r>
    <x v="0"/>
    <x v="8"/>
    <x v="3"/>
    <x v="7"/>
    <n v="7775"/>
    <n v="43191"/>
    <n v="335810025"/>
    <n v="3.7999999999999999E-2"/>
    <n v="6.08"/>
    <n v="3.75"/>
  </r>
  <r>
    <x v="1"/>
    <x v="0"/>
    <x v="0"/>
    <x v="0"/>
    <n v="7462"/>
    <n v="48506"/>
    <n v="361951772"/>
    <n v="5.6000000000000001E-2"/>
    <n v="19.309999999999999"/>
    <n v="2.44"/>
  </r>
  <r>
    <x v="1"/>
    <x v="0"/>
    <x v="0"/>
    <x v="1"/>
    <n v="5730"/>
    <n v="60515"/>
    <n v="346750950"/>
    <n v="0.04"/>
    <n v="19.309999999999999"/>
    <n v="2.44"/>
  </r>
  <r>
    <x v="1"/>
    <x v="0"/>
    <x v="0"/>
    <x v="2"/>
    <n v="9556"/>
    <n v="56886"/>
    <n v="543602616"/>
    <n v="3.3000000000000002E-2"/>
    <n v="19.309999999999999"/>
    <n v="2.44"/>
  </r>
  <r>
    <x v="1"/>
    <x v="0"/>
    <x v="0"/>
    <x v="3"/>
    <n v="5229"/>
    <n v="69204"/>
    <n v="361867716"/>
    <n v="4.2999999999999997E-2"/>
    <n v="19.309999999999999"/>
    <n v="2.44"/>
  </r>
  <r>
    <x v="1"/>
    <x v="0"/>
    <x v="0"/>
    <x v="4"/>
    <n v="3520"/>
    <n v="91562"/>
    <n v="322298240"/>
    <n v="5.6000000000000001E-2"/>
    <n v="19.309999999999999"/>
    <n v="2.44"/>
  </r>
  <r>
    <x v="1"/>
    <x v="0"/>
    <x v="0"/>
    <x v="5"/>
    <n v="6143"/>
    <n v="65896"/>
    <n v="404799128"/>
    <n v="5.8000000000000003E-2"/>
    <n v="19.309999999999999"/>
    <n v="2.44"/>
  </r>
  <r>
    <x v="1"/>
    <x v="0"/>
    <x v="0"/>
    <x v="6"/>
    <n v="3413"/>
    <n v="73083"/>
    <n v="249432279"/>
    <n v="4.3999999999999997E-2"/>
    <n v="19.309999999999999"/>
    <n v="2.44"/>
  </r>
  <r>
    <x v="1"/>
    <x v="0"/>
    <x v="0"/>
    <x v="7"/>
    <n v="4092"/>
    <n v="41976"/>
    <n v="171765792"/>
    <n v="5.0999999999999997E-2"/>
    <n v="19.309999999999999"/>
    <n v="2.44"/>
  </r>
  <r>
    <x v="1"/>
    <x v="0"/>
    <x v="1"/>
    <x v="0"/>
    <n v="3359"/>
    <n v="47855"/>
    <n v="160744945"/>
    <n v="3.7999999999999999E-2"/>
    <n v="16.25"/>
    <n v="1.1499999999999999"/>
  </r>
  <r>
    <x v="1"/>
    <x v="0"/>
    <x v="1"/>
    <x v="1"/>
    <n v="5436"/>
    <n v="60792"/>
    <n v="330465312"/>
    <n v="3.7999999999999999E-2"/>
    <n v="16.25"/>
    <n v="1.1499999999999999"/>
  </r>
  <r>
    <x v="1"/>
    <x v="0"/>
    <x v="1"/>
    <x v="2"/>
    <n v="3220"/>
    <n v="58255"/>
    <n v="187581100"/>
    <n v="5.5E-2"/>
    <n v="16.25"/>
    <n v="1.1499999999999999"/>
  </r>
  <r>
    <x v="1"/>
    <x v="0"/>
    <x v="1"/>
    <x v="3"/>
    <n v="5978"/>
    <n v="68607"/>
    <n v="410132646"/>
    <n v="4.2000000000000003E-2"/>
    <n v="16.25"/>
    <n v="1.1499999999999999"/>
  </r>
  <r>
    <x v="1"/>
    <x v="0"/>
    <x v="1"/>
    <x v="4"/>
    <n v="7513"/>
    <n v="93380"/>
    <n v="701563940"/>
    <n v="4.8000000000000001E-2"/>
    <n v="16.25"/>
    <n v="1.1499999999999999"/>
  </r>
  <r>
    <x v="1"/>
    <x v="0"/>
    <x v="1"/>
    <x v="5"/>
    <n v="10969"/>
    <n v="63590"/>
    <n v="697518710"/>
    <n v="4.2999999999999997E-2"/>
    <n v="16.25"/>
    <n v="1.1499999999999999"/>
  </r>
  <r>
    <x v="1"/>
    <x v="0"/>
    <x v="1"/>
    <x v="6"/>
    <n v="3473"/>
    <n v="75434"/>
    <n v="261982282"/>
    <n v="0.05"/>
    <n v="16.25"/>
    <n v="1.1499999999999999"/>
  </r>
  <r>
    <x v="1"/>
    <x v="0"/>
    <x v="1"/>
    <x v="7"/>
    <n v="3384"/>
    <n v="41963"/>
    <n v="142002792"/>
    <n v="5.0999999999999997E-2"/>
    <n v="16.25"/>
    <n v="1.1499999999999999"/>
  </r>
  <r>
    <x v="1"/>
    <x v="0"/>
    <x v="2"/>
    <x v="0"/>
    <n v="4280"/>
    <n v="47016"/>
    <n v="201228480"/>
    <n v="3.1E-2"/>
    <n v="17.37"/>
    <n v="4.25"/>
  </r>
  <r>
    <x v="1"/>
    <x v="0"/>
    <x v="2"/>
    <x v="1"/>
    <n v="9392"/>
    <n v="63902"/>
    <n v="600167584"/>
    <n v="4.2000000000000003E-2"/>
    <n v="17.37"/>
    <n v="4.25"/>
  </r>
  <r>
    <x v="1"/>
    <x v="0"/>
    <x v="2"/>
    <x v="2"/>
    <n v="7445"/>
    <n v="56583"/>
    <n v="421260435"/>
    <n v="5.3999999999999999E-2"/>
    <n v="17.37"/>
    <n v="4.25"/>
  </r>
  <r>
    <x v="1"/>
    <x v="0"/>
    <x v="2"/>
    <x v="3"/>
    <n v="10847"/>
    <n v="68087"/>
    <n v="738539689"/>
    <n v="2.8000000000000001E-2"/>
    <n v="17.37"/>
    <n v="4.25"/>
  </r>
  <r>
    <x v="1"/>
    <x v="0"/>
    <x v="2"/>
    <x v="4"/>
    <n v="6152"/>
    <n v="92013"/>
    <n v="566063976"/>
    <n v="4.3999999999999997E-2"/>
    <n v="17.37"/>
    <n v="4.25"/>
  </r>
  <r>
    <x v="1"/>
    <x v="0"/>
    <x v="2"/>
    <x v="5"/>
    <n v="3805"/>
    <n v="66566"/>
    <n v="253283630"/>
    <n v="3.3000000000000002E-2"/>
    <n v="17.37"/>
    <n v="4.25"/>
  </r>
  <r>
    <x v="1"/>
    <x v="0"/>
    <x v="2"/>
    <x v="6"/>
    <n v="10623"/>
    <n v="75848"/>
    <n v="805733304"/>
    <n v="5.5E-2"/>
    <n v="17.37"/>
    <n v="4.25"/>
  </r>
  <r>
    <x v="1"/>
    <x v="0"/>
    <x v="2"/>
    <x v="7"/>
    <n v="4445"/>
    <n v="40101"/>
    <n v="178248945"/>
    <n v="3.4000000000000002E-2"/>
    <n v="17.37"/>
    <n v="4.25"/>
  </r>
  <r>
    <x v="1"/>
    <x v="0"/>
    <x v="3"/>
    <x v="0"/>
    <n v="9032"/>
    <n v="49731"/>
    <n v="449170392"/>
    <n v="6.9000000000000006E-2"/>
    <n v="6.5"/>
    <n v="3.26"/>
  </r>
  <r>
    <x v="1"/>
    <x v="0"/>
    <x v="3"/>
    <x v="1"/>
    <n v="5107"/>
    <n v="60713"/>
    <n v="310061291"/>
    <n v="4.4999999999999998E-2"/>
    <n v="6.5"/>
    <n v="3.26"/>
  </r>
  <r>
    <x v="1"/>
    <x v="0"/>
    <x v="3"/>
    <x v="2"/>
    <n v="11377"/>
    <n v="57949"/>
    <n v="659285773"/>
    <n v="3.5999999999999997E-2"/>
    <n v="6.5"/>
    <n v="3.26"/>
  </r>
  <r>
    <x v="1"/>
    <x v="0"/>
    <x v="3"/>
    <x v="3"/>
    <n v="9033"/>
    <n v="69163"/>
    <n v="624749379"/>
    <n v="4.4999999999999998E-2"/>
    <n v="6.5"/>
    <n v="3.26"/>
  </r>
  <r>
    <x v="1"/>
    <x v="0"/>
    <x v="3"/>
    <x v="4"/>
    <n v="10110"/>
    <n v="92918"/>
    <n v="939400980"/>
    <n v="3.5000000000000003E-2"/>
    <n v="6.5"/>
    <n v="3.26"/>
  </r>
  <r>
    <x v="1"/>
    <x v="0"/>
    <x v="3"/>
    <x v="5"/>
    <n v="2533"/>
    <n v="64709"/>
    <n v="163907897"/>
    <n v="4.2000000000000003E-2"/>
    <n v="6.5"/>
    <n v="3.26"/>
  </r>
  <r>
    <x v="1"/>
    <x v="0"/>
    <x v="3"/>
    <x v="6"/>
    <n v="5421"/>
    <n v="74895"/>
    <n v="406005795"/>
    <n v="4.5999999999999999E-2"/>
    <n v="6.5"/>
    <n v="3.26"/>
  </r>
  <r>
    <x v="1"/>
    <x v="0"/>
    <x v="3"/>
    <x v="7"/>
    <n v="8405"/>
    <n v="40316"/>
    <n v="338855980"/>
    <n v="4.2000000000000003E-2"/>
    <n v="6.5"/>
    <n v="3.26"/>
  </r>
  <r>
    <x v="1"/>
    <x v="9"/>
    <x v="0"/>
    <x v="0"/>
    <n v="5762"/>
    <n v="48430"/>
    <n v="279053660"/>
    <n v="0.05"/>
    <n v="20.100000000000001"/>
    <n v="4.8099999999999996"/>
  </r>
  <r>
    <x v="1"/>
    <x v="9"/>
    <x v="0"/>
    <x v="1"/>
    <n v="2894"/>
    <n v="61107"/>
    <n v="176843658"/>
    <n v="5.8000000000000003E-2"/>
    <n v="20.100000000000001"/>
    <n v="4.8099999999999996"/>
  </r>
  <r>
    <x v="1"/>
    <x v="9"/>
    <x v="0"/>
    <x v="2"/>
    <n v="2648"/>
    <n v="56409"/>
    <n v="149371032"/>
    <n v="5.8000000000000003E-2"/>
    <n v="20.100000000000001"/>
    <n v="4.8099999999999996"/>
  </r>
  <r>
    <x v="1"/>
    <x v="9"/>
    <x v="0"/>
    <x v="3"/>
    <n v="3321"/>
    <n v="67514"/>
    <n v="224213994"/>
    <n v="4.7E-2"/>
    <n v="20.100000000000001"/>
    <n v="4.8099999999999996"/>
  </r>
  <r>
    <x v="1"/>
    <x v="9"/>
    <x v="0"/>
    <x v="4"/>
    <n v="9583"/>
    <n v="90970"/>
    <n v="871765510"/>
    <n v="6.2E-2"/>
    <n v="20.100000000000001"/>
    <n v="4.8099999999999996"/>
  </r>
  <r>
    <x v="1"/>
    <x v="9"/>
    <x v="0"/>
    <x v="5"/>
    <n v="9470"/>
    <n v="65134"/>
    <n v="616818980"/>
    <n v="4.7E-2"/>
    <n v="20.100000000000001"/>
    <n v="4.8099999999999996"/>
  </r>
  <r>
    <x v="1"/>
    <x v="9"/>
    <x v="0"/>
    <x v="6"/>
    <n v="3972"/>
    <n v="76638"/>
    <n v="304406136"/>
    <n v="4.2000000000000003E-2"/>
    <n v="20.100000000000001"/>
    <n v="4.8099999999999996"/>
  </r>
  <r>
    <x v="1"/>
    <x v="9"/>
    <x v="0"/>
    <x v="7"/>
    <n v="11195"/>
    <n v="43427"/>
    <n v="486165265"/>
    <n v="4.9000000000000002E-2"/>
    <n v="20.100000000000001"/>
    <n v="4.8099999999999996"/>
  </r>
  <r>
    <x v="1"/>
    <x v="9"/>
    <x v="1"/>
    <x v="0"/>
    <n v="2745"/>
    <n v="46311"/>
    <n v="127123695"/>
    <n v="3.2000000000000001E-2"/>
    <n v="17.04"/>
    <n v="3.57"/>
  </r>
  <r>
    <x v="1"/>
    <x v="9"/>
    <x v="1"/>
    <x v="1"/>
    <n v="5303"/>
    <n v="61082"/>
    <n v="323917846"/>
    <n v="5.7000000000000002E-2"/>
    <n v="17.04"/>
    <n v="3.57"/>
  </r>
  <r>
    <x v="1"/>
    <x v="9"/>
    <x v="1"/>
    <x v="2"/>
    <n v="11199"/>
    <n v="57982"/>
    <n v="649340418"/>
    <n v="0.04"/>
    <n v="17.04"/>
    <n v="3.57"/>
  </r>
  <r>
    <x v="1"/>
    <x v="9"/>
    <x v="1"/>
    <x v="3"/>
    <n v="2790"/>
    <n v="67902"/>
    <n v="189446580"/>
    <n v="4.7E-2"/>
    <n v="17.04"/>
    <n v="3.57"/>
  </r>
  <r>
    <x v="1"/>
    <x v="9"/>
    <x v="1"/>
    <x v="4"/>
    <n v="9300"/>
    <n v="92071"/>
    <n v="856260300"/>
    <n v="4.3999999999999997E-2"/>
    <n v="17.04"/>
    <n v="3.57"/>
  </r>
  <r>
    <x v="1"/>
    <x v="9"/>
    <x v="1"/>
    <x v="5"/>
    <n v="10856"/>
    <n v="65852"/>
    <n v="714889312"/>
    <n v="0.05"/>
    <n v="17.04"/>
    <n v="3.57"/>
  </r>
  <r>
    <x v="1"/>
    <x v="9"/>
    <x v="1"/>
    <x v="6"/>
    <n v="5825"/>
    <n v="75467"/>
    <n v="439595275"/>
    <n v="4.7E-2"/>
    <n v="17.04"/>
    <n v="3.57"/>
  </r>
  <r>
    <x v="1"/>
    <x v="9"/>
    <x v="1"/>
    <x v="7"/>
    <n v="11707"/>
    <n v="43188"/>
    <n v="505601916"/>
    <n v="5.5E-2"/>
    <n v="17.04"/>
    <n v="3.57"/>
  </r>
  <r>
    <x v="1"/>
    <x v="9"/>
    <x v="2"/>
    <x v="0"/>
    <n v="3810"/>
    <n v="49714"/>
    <n v="189410340"/>
    <n v="3.5999999999999997E-2"/>
    <n v="18.18"/>
    <n v="4.57"/>
  </r>
  <r>
    <x v="1"/>
    <x v="9"/>
    <x v="2"/>
    <x v="1"/>
    <n v="2963"/>
    <n v="63623"/>
    <n v="188514949"/>
    <n v="3.1E-2"/>
    <n v="18.18"/>
    <n v="4.57"/>
  </r>
  <r>
    <x v="1"/>
    <x v="9"/>
    <x v="2"/>
    <x v="2"/>
    <n v="5340"/>
    <n v="58147"/>
    <n v="310504980"/>
    <n v="5.1999999999999998E-2"/>
    <n v="18.18"/>
    <n v="4.57"/>
  </r>
  <r>
    <x v="1"/>
    <x v="9"/>
    <x v="2"/>
    <x v="3"/>
    <n v="9193"/>
    <n v="67477"/>
    <n v="620316061"/>
    <n v="3.7999999999999999E-2"/>
    <n v="18.18"/>
    <n v="4.57"/>
  </r>
  <r>
    <x v="1"/>
    <x v="9"/>
    <x v="2"/>
    <x v="4"/>
    <n v="11380"/>
    <n v="92340"/>
    <n v="1050829200"/>
    <n v="4.7E-2"/>
    <n v="18.18"/>
    <n v="4.57"/>
  </r>
  <r>
    <x v="1"/>
    <x v="9"/>
    <x v="2"/>
    <x v="5"/>
    <n v="6994"/>
    <n v="65365"/>
    <n v="457162810"/>
    <n v="2.1999999999999999E-2"/>
    <n v="18.18"/>
    <n v="4.57"/>
  </r>
  <r>
    <x v="1"/>
    <x v="9"/>
    <x v="2"/>
    <x v="6"/>
    <n v="3938"/>
    <n v="73503"/>
    <n v="289454814"/>
    <n v="4.2999999999999997E-2"/>
    <n v="18.18"/>
    <n v="4.57"/>
  </r>
  <r>
    <x v="1"/>
    <x v="9"/>
    <x v="2"/>
    <x v="7"/>
    <n v="4675"/>
    <n v="42008"/>
    <n v="196387400"/>
    <n v="5.6000000000000001E-2"/>
    <n v="18.18"/>
    <n v="4.57"/>
  </r>
  <r>
    <x v="1"/>
    <x v="9"/>
    <x v="3"/>
    <x v="0"/>
    <n v="10488"/>
    <n v="48046"/>
    <n v="503906448"/>
    <n v="5.2999999999999999E-2"/>
    <n v="6.3"/>
    <n v="2.31"/>
  </r>
  <r>
    <x v="1"/>
    <x v="9"/>
    <x v="3"/>
    <x v="1"/>
    <n v="7870"/>
    <n v="60459"/>
    <n v="475812330"/>
    <n v="3.3000000000000002E-2"/>
    <n v="6.3"/>
    <n v="2.31"/>
  </r>
  <r>
    <x v="1"/>
    <x v="9"/>
    <x v="3"/>
    <x v="2"/>
    <n v="9356"/>
    <n v="59778"/>
    <n v="559282968"/>
    <n v="2.9000000000000001E-2"/>
    <n v="6.3"/>
    <n v="2.31"/>
  </r>
  <r>
    <x v="1"/>
    <x v="9"/>
    <x v="3"/>
    <x v="3"/>
    <n v="3061"/>
    <n v="67269"/>
    <n v="205910409"/>
    <n v="4.2000000000000003E-2"/>
    <n v="6.3"/>
    <n v="2.31"/>
  </r>
  <r>
    <x v="1"/>
    <x v="9"/>
    <x v="3"/>
    <x v="4"/>
    <n v="8047"/>
    <n v="91280"/>
    <n v="734530160"/>
    <n v="5.5E-2"/>
    <n v="6.3"/>
    <n v="2.31"/>
  </r>
  <r>
    <x v="1"/>
    <x v="9"/>
    <x v="3"/>
    <x v="5"/>
    <n v="8587"/>
    <n v="66347"/>
    <n v="569721689"/>
    <n v="0.04"/>
    <n v="6.3"/>
    <n v="2.31"/>
  </r>
  <r>
    <x v="1"/>
    <x v="9"/>
    <x v="3"/>
    <x v="6"/>
    <n v="8214"/>
    <n v="73575"/>
    <n v="604345050"/>
    <n v="0.06"/>
    <n v="6.3"/>
    <n v="2.31"/>
  </r>
  <r>
    <x v="1"/>
    <x v="9"/>
    <x v="3"/>
    <x v="7"/>
    <n v="9324"/>
    <n v="42003"/>
    <n v="391635972"/>
    <n v="5.3999999999999999E-2"/>
    <n v="6.3"/>
    <n v="2.31"/>
  </r>
  <r>
    <x v="1"/>
    <x v="10"/>
    <x v="0"/>
    <x v="0"/>
    <n v="6875"/>
    <n v="47390"/>
    <n v="325806250"/>
    <n v="0.04"/>
    <n v="16.5"/>
    <n v="4.4000000000000004"/>
  </r>
  <r>
    <x v="1"/>
    <x v="10"/>
    <x v="0"/>
    <x v="1"/>
    <n v="4806"/>
    <n v="61925"/>
    <n v="297611550"/>
    <n v="6.3E-2"/>
    <n v="16.5"/>
    <n v="4.4000000000000004"/>
  </r>
  <r>
    <x v="1"/>
    <x v="10"/>
    <x v="0"/>
    <x v="2"/>
    <n v="3533"/>
    <n v="58381"/>
    <n v="206260073"/>
    <n v="0.04"/>
    <n v="16.5"/>
    <n v="4.4000000000000004"/>
  </r>
  <r>
    <x v="1"/>
    <x v="10"/>
    <x v="0"/>
    <x v="3"/>
    <n v="3929"/>
    <n v="69558"/>
    <n v="273293382"/>
    <n v="4.4999999999999998E-2"/>
    <n v="16.5"/>
    <n v="4.4000000000000004"/>
  </r>
  <r>
    <x v="1"/>
    <x v="10"/>
    <x v="0"/>
    <x v="4"/>
    <n v="13295"/>
    <n v="91058"/>
    <n v="1210616110"/>
    <n v="4.5999999999999999E-2"/>
    <n v="16.5"/>
    <n v="4.4000000000000004"/>
  </r>
  <r>
    <x v="1"/>
    <x v="10"/>
    <x v="0"/>
    <x v="5"/>
    <n v="7696"/>
    <n v="65532"/>
    <n v="504334272"/>
    <n v="0.04"/>
    <n v="16.5"/>
    <n v="4.4000000000000004"/>
  </r>
  <r>
    <x v="1"/>
    <x v="10"/>
    <x v="0"/>
    <x v="6"/>
    <n v="8699"/>
    <n v="74229"/>
    <n v="645718071"/>
    <n v="4.5999999999999999E-2"/>
    <n v="16.5"/>
    <n v="4.4000000000000004"/>
  </r>
  <r>
    <x v="1"/>
    <x v="10"/>
    <x v="0"/>
    <x v="7"/>
    <n v="13286"/>
    <n v="40489"/>
    <n v="537936854"/>
    <n v="2.5000000000000001E-2"/>
    <n v="16.5"/>
    <n v="4.4000000000000004"/>
  </r>
  <r>
    <x v="1"/>
    <x v="10"/>
    <x v="1"/>
    <x v="0"/>
    <n v="2974"/>
    <n v="47208"/>
    <n v="140396592"/>
    <n v="4.5999999999999999E-2"/>
    <n v="18.8"/>
    <n v="2.52"/>
  </r>
  <r>
    <x v="1"/>
    <x v="10"/>
    <x v="1"/>
    <x v="1"/>
    <n v="8884"/>
    <n v="63255"/>
    <n v="561957420"/>
    <n v="0.05"/>
    <n v="18.8"/>
    <n v="2.52"/>
  </r>
  <r>
    <x v="1"/>
    <x v="10"/>
    <x v="1"/>
    <x v="2"/>
    <n v="10353"/>
    <n v="57317"/>
    <n v="593402901"/>
    <n v="2.4E-2"/>
    <n v="18.8"/>
    <n v="2.52"/>
  </r>
  <r>
    <x v="1"/>
    <x v="10"/>
    <x v="1"/>
    <x v="3"/>
    <n v="9963"/>
    <n v="69431"/>
    <n v="691741053"/>
    <n v="4.8000000000000001E-2"/>
    <n v="18.8"/>
    <n v="2.52"/>
  </r>
  <r>
    <x v="1"/>
    <x v="10"/>
    <x v="1"/>
    <x v="4"/>
    <n v="9355"/>
    <n v="92793"/>
    <n v="868078515"/>
    <n v="5.6000000000000001E-2"/>
    <n v="18.8"/>
    <n v="2.52"/>
  </r>
  <r>
    <x v="1"/>
    <x v="10"/>
    <x v="1"/>
    <x v="5"/>
    <n v="3842"/>
    <n v="63374"/>
    <n v="243482908"/>
    <n v="3.5000000000000003E-2"/>
    <n v="18.8"/>
    <n v="2.52"/>
  </r>
  <r>
    <x v="1"/>
    <x v="10"/>
    <x v="1"/>
    <x v="6"/>
    <n v="10961"/>
    <n v="73516"/>
    <n v="805808876"/>
    <n v="3.9E-2"/>
    <n v="18.8"/>
    <n v="2.52"/>
  </r>
  <r>
    <x v="1"/>
    <x v="10"/>
    <x v="1"/>
    <x v="7"/>
    <n v="4189"/>
    <n v="43873"/>
    <n v="183783997"/>
    <n v="6.4000000000000001E-2"/>
    <n v="18.8"/>
    <n v="2.52"/>
  </r>
  <r>
    <x v="1"/>
    <x v="10"/>
    <x v="2"/>
    <x v="0"/>
    <n v="11562"/>
    <n v="46587"/>
    <n v="538638894"/>
    <n v="4.7E-2"/>
    <n v="15.71"/>
    <n v="2.9"/>
  </r>
  <r>
    <x v="1"/>
    <x v="10"/>
    <x v="2"/>
    <x v="1"/>
    <n v="3949"/>
    <n v="61863"/>
    <n v="244296987"/>
    <n v="5.6000000000000001E-2"/>
    <n v="15.71"/>
    <n v="2.9"/>
  </r>
  <r>
    <x v="1"/>
    <x v="10"/>
    <x v="2"/>
    <x v="2"/>
    <n v="7863"/>
    <n v="59218"/>
    <n v="465631134"/>
    <n v="5.6000000000000001E-2"/>
    <n v="15.71"/>
    <n v="2.9"/>
  </r>
  <r>
    <x v="1"/>
    <x v="10"/>
    <x v="2"/>
    <x v="3"/>
    <n v="6371"/>
    <n v="68327"/>
    <n v="435311317"/>
    <n v="5.7000000000000002E-2"/>
    <n v="15.71"/>
    <n v="2.9"/>
  </r>
  <r>
    <x v="1"/>
    <x v="10"/>
    <x v="2"/>
    <x v="4"/>
    <n v="12038"/>
    <n v="92632"/>
    <n v="1115104016"/>
    <n v="5.5E-2"/>
    <n v="15.71"/>
    <n v="2.9"/>
  </r>
  <r>
    <x v="1"/>
    <x v="10"/>
    <x v="2"/>
    <x v="5"/>
    <n v="7169"/>
    <n v="65636"/>
    <n v="470544484"/>
    <n v="4.2000000000000003E-2"/>
    <n v="15.71"/>
    <n v="2.9"/>
  </r>
  <r>
    <x v="1"/>
    <x v="10"/>
    <x v="2"/>
    <x v="6"/>
    <n v="6492"/>
    <n v="76452"/>
    <n v="496326384"/>
    <n v="5.0999999999999997E-2"/>
    <n v="15.71"/>
    <n v="2.9"/>
  </r>
  <r>
    <x v="1"/>
    <x v="10"/>
    <x v="2"/>
    <x v="7"/>
    <n v="6427"/>
    <n v="40493"/>
    <n v="260248511"/>
    <n v="4.9000000000000002E-2"/>
    <n v="15.71"/>
    <n v="2.9"/>
  </r>
  <r>
    <x v="1"/>
    <x v="10"/>
    <x v="3"/>
    <x v="0"/>
    <n v="3965"/>
    <n v="49712"/>
    <n v="197108080"/>
    <n v="5.2999999999999999E-2"/>
    <n v="6.8"/>
    <n v="2.89"/>
  </r>
  <r>
    <x v="1"/>
    <x v="10"/>
    <x v="3"/>
    <x v="1"/>
    <n v="4381"/>
    <n v="60821"/>
    <n v="266456801"/>
    <n v="4.1000000000000002E-2"/>
    <n v="6.8"/>
    <n v="2.89"/>
  </r>
  <r>
    <x v="1"/>
    <x v="10"/>
    <x v="3"/>
    <x v="2"/>
    <n v="3346"/>
    <n v="56916"/>
    <n v="190440936"/>
    <n v="3.2000000000000001E-2"/>
    <n v="6.8"/>
    <n v="2.89"/>
  </r>
  <r>
    <x v="1"/>
    <x v="10"/>
    <x v="3"/>
    <x v="3"/>
    <n v="6089"/>
    <n v="69652"/>
    <n v="424111028"/>
    <n v="2.9000000000000001E-2"/>
    <n v="6.8"/>
    <n v="2.89"/>
  </r>
  <r>
    <x v="1"/>
    <x v="10"/>
    <x v="3"/>
    <x v="4"/>
    <n v="9168"/>
    <n v="92338"/>
    <n v="846554784"/>
    <n v="5.6000000000000001E-2"/>
    <n v="6.8"/>
    <n v="2.89"/>
  </r>
  <r>
    <x v="1"/>
    <x v="10"/>
    <x v="3"/>
    <x v="5"/>
    <n v="9697"/>
    <n v="65149"/>
    <n v="631749853"/>
    <n v="6.7000000000000004E-2"/>
    <n v="6.8"/>
    <n v="2.89"/>
  </r>
  <r>
    <x v="1"/>
    <x v="10"/>
    <x v="3"/>
    <x v="6"/>
    <n v="10774"/>
    <n v="73961"/>
    <n v="796855814"/>
    <n v="0.05"/>
    <n v="6.8"/>
    <n v="2.89"/>
  </r>
  <r>
    <x v="1"/>
    <x v="10"/>
    <x v="3"/>
    <x v="7"/>
    <n v="6219"/>
    <n v="43848"/>
    <n v="272690712"/>
    <n v="3.5000000000000003E-2"/>
    <n v="6.8"/>
    <n v="2.89"/>
  </r>
  <r>
    <x v="1"/>
    <x v="11"/>
    <x v="0"/>
    <x v="0"/>
    <n v="3597"/>
    <n v="47763"/>
    <n v="171803511"/>
    <n v="2.9000000000000001E-2"/>
    <n v="17.63"/>
    <n v="3.98"/>
  </r>
  <r>
    <x v="1"/>
    <x v="11"/>
    <x v="0"/>
    <x v="1"/>
    <n v="10503"/>
    <n v="60943"/>
    <n v="640084329"/>
    <n v="4.7E-2"/>
    <n v="17.63"/>
    <n v="3.98"/>
  </r>
  <r>
    <x v="1"/>
    <x v="11"/>
    <x v="0"/>
    <x v="2"/>
    <n v="7774"/>
    <n v="58474"/>
    <n v="454576876"/>
    <n v="5.3999999999999999E-2"/>
    <n v="17.63"/>
    <n v="3.98"/>
  </r>
  <r>
    <x v="1"/>
    <x v="11"/>
    <x v="0"/>
    <x v="3"/>
    <n v="11444"/>
    <n v="67020"/>
    <n v="766976880"/>
    <n v="5.5E-2"/>
    <n v="17.63"/>
    <n v="3.98"/>
  </r>
  <r>
    <x v="1"/>
    <x v="11"/>
    <x v="0"/>
    <x v="4"/>
    <n v="2843"/>
    <n v="93188"/>
    <n v="264933484"/>
    <n v="5.3999999999999999E-2"/>
    <n v="17.63"/>
    <n v="3.98"/>
  </r>
  <r>
    <x v="1"/>
    <x v="11"/>
    <x v="0"/>
    <x v="5"/>
    <n v="7576"/>
    <n v="65446"/>
    <n v="495818896"/>
    <n v="4.2999999999999997E-2"/>
    <n v="17.63"/>
    <n v="3.98"/>
  </r>
  <r>
    <x v="1"/>
    <x v="11"/>
    <x v="0"/>
    <x v="6"/>
    <n v="9233"/>
    <n v="73323"/>
    <n v="676991259"/>
    <n v="3.3000000000000002E-2"/>
    <n v="17.63"/>
    <n v="3.98"/>
  </r>
  <r>
    <x v="1"/>
    <x v="11"/>
    <x v="0"/>
    <x v="7"/>
    <n v="2583"/>
    <n v="40469"/>
    <n v="104531427"/>
    <n v="0.06"/>
    <n v="17.63"/>
    <n v="3.98"/>
  </r>
  <r>
    <x v="1"/>
    <x v="11"/>
    <x v="1"/>
    <x v="0"/>
    <n v="10826"/>
    <n v="48798"/>
    <n v="528287148"/>
    <n v="3.5000000000000003E-2"/>
    <n v="18.32"/>
    <n v="2.5299999999999998"/>
  </r>
  <r>
    <x v="1"/>
    <x v="11"/>
    <x v="1"/>
    <x v="1"/>
    <n v="9600"/>
    <n v="60105"/>
    <n v="577008000"/>
    <n v="3.4000000000000002E-2"/>
    <n v="18.32"/>
    <n v="2.5299999999999998"/>
  </r>
  <r>
    <x v="1"/>
    <x v="11"/>
    <x v="1"/>
    <x v="2"/>
    <n v="7866"/>
    <n v="58636"/>
    <n v="461230776"/>
    <n v="3.7999999999999999E-2"/>
    <n v="18.32"/>
    <n v="2.5299999999999998"/>
  </r>
  <r>
    <x v="1"/>
    <x v="11"/>
    <x v="1"/>
    <x v="3"/>
    <n v="9087"/>
    <n v="69137"/>
    <n v="628247919"/>
    <n v="6.0999999999999999E-2"/>
    <n v="18.32"/>
    <n v="2.5299999999999998"/>
  </r>
  <r>
    <x v="1"/>
    <x v="11"/>
    <x v="1"/>
    <x v="4"/>
    <n v="6795"/>
    <n v="93657"/>
    <n v="636399315"/>
    <n v="5.0999999999999997E-2"/>
    <n v="18.32"/>
    <n v="2.5299999999999998"/>
  </r>
  <r>
    <x v="1"/>
    <x v="11"/>
    <x v="1"/>
    <x v="5"/>
    <n v="9346"/>
    <n v="65206"/>
    <n v="609415276"/>
    <n v="3.5000000000000003E-2"/>
    <n v="18.32"/>
    <n v="2.5299999999999998"/>
  </r>
  <r>
    <x v="1"/>
    <x v="11"/>
    <x v="1"/>
    <x v="6"/>
    <n v="6021"/>
    <n v="73444"/>
    <n v="442206324"/>
    <n v="5.3999999999999999E-2"/>
    <n v="18.32"/>
    <n v="2.5299999999999998"/>
  </r>
  <r>
    <x v="1"/>
    <x v="11"/>
    <x v="1"/>
    <x v="7"/>
    <n v="8748"/>
    <n v="40951"/>
    <n v="358239348"/>
    <n v="3.7999999999999999E-2"/>
    <n v="18.32"/>
    <n v="2.5299999999999998"/>
  </r>
  <r>
    <x v="1"/>
    <x v="11"/>
    <x v="2"/>
    <x v="0"/>
    <n v="7623"/>
    <n v="48938"/>
    <n v="373054374"/>
    <n v="4.5999999999999999E-2"/>
    <n v="19.64"/>
    <n v="2.98"/>
  </r>
  <r>
    <x v="1"/>
    <x v="11"/>
    <x v="2"/>
    <x v="1"/>
    <n v="8595"/>
    <n v="62934"/>
    <n v="540917730"/>
    <n v="4.1000000000000002E-2"/>
    <n v="19.64"/>
    <n v="2.98"/>
  </r>
  <r>
    <x v="1"/>
    <x v="11"/>
    <x v="2"/>
    <x v="2"/>
    <n v="9574"/>
    <n v="59097"/>
    <n v="565794678"/>
    <n v="7.0000000000000007E-2"/>
    <n v="19.64"/>
    <n v="2.98"/>
  </r>
  <r>
    <x v="1"/>
    <x v="11"/>
    <x v="2"/>
    <x v="3"/>
    <n v="6963"/>
    <n v="68806"/>
    <n v="479096178"/>
    <n v="4.9000000000000002E-2"/>
    <n v="19.64"/>
    <n v="2.98"/>
  </r>
  <r>
    <x v="1"/>
    <x v="11"/>
    <x v="2"/>
    <x v="4"/>
    <n v="2455"/>
    <n v="92729"/>
    <n v="227649695"/>
    <n v="0.04"/>
    <n v="19.64"/>
    <n v="2.98"/>
  </r>
  <r>
    <x v="1"/>
    <x v="11"/>
    <x v="2"/>
    <x v="5"/>
    <n v="8605"/>
    <n v="63719"/>
    <n v="548301995"/>
    <n v="3.4000000000000002E-2"/>
    <n v="19.64"/>
    <n v="2.98"/>
  </r>
  <r>
    <x v="1"/>
    <x v="11"/>
    <x v="2"/>
    <x v="6"/>
    <n v="3495"/>
    <n v="73049"/>
    <n v="255306255"/>
    <n v="5.1999999999999998E-2"/>
    <n v="19.64"/>
    <n v="2.98"/>
  </r>
  <r>
    <x v="1"/>
    <x v="11"/>
    <x v="2"/>
    <x v="7"/>
    <n v="9106"/>
    <n v="42578"/>
    <n v="387715268"/>
    <n v="3.7999999999999999E-2"/>
    <n v="19.64"/>
    <n v="2.98"/>
  </r>
  <r>
    <x v="1"/>
    <x v="11"/>
    <x v="3"/>
    <x v="0"/>
    <n v="7348"/>
    <n v="48289"/>
    <n v="354827572"/>
    <n v="3.6999999999999998E-2"/>
    <n v="6.62"/>
    <n v="3.44"/>
  </r>
  <r>
    <x v="1"/>
    <x v="11"/>
    <x v="3"/>
    <x v="1"/>
    <n v="2917"/>
    <n v="63179"/>
    <n v="184293143"/>
    <n v="6.6000000000000003E-2"/>
    <n v="6.62"/>
    <n v="3.44"/>
  </r>
  <r>
    <x v="1"/>
    <x v="11"/>
    <x v="3"/>
    <x v="2"/>
    <n v="3668"/>
    <n v="56661"/>
    <n v="207832548"/>
    <n v="7.0000000000000007E-2"/>
    <n v="6.62"/>
    <n v="3.44"/>
  </r>
  <r>
    <x v="1"/>
    <x v="11"/>
    <x v="3"/>
    <x v="3"/>
    <n v="5236"/>
    <n v="70726"/>
    <n v="370321336"/>
    <n v="2.5999999999999999E-2"/>
    <n v="6.62"/>
    <n v="3.44"/>
  </r>
  <r>
    <x v="1"/>
    <x v="11"/>
    <x v="3"/>
    <x v="4"/>
    <n v="3412"/>
    <n v="90968"/>
    <n v="310382816"/>
    <n v="5.0999999999999997E-2"/>
    <n v="6.62"/>
    <n v="3.44"/>
  </r>
  <r>
    <x v="1"/>
    <x v="11"/>
    <x v="3"/>
    <x v="5"/>
    <n v="3522"/>
    <n v="65556"/>
    <n v="230888232"/>
    <n v="3.3000000000000002E-2"/>
    <n v="6.62"/>
    <n v="3.44"/>
  </r>
  <r>
    <x v="1"/>
    <x v="11"/>
    <x v="3"/>
    <x v="6"/>
    <n v="10892"/>
    <n v="74826"/>
    <n v="815004792"/>
    <n v="4.8000000000000001E-2"/>
    <n v="6.62"/>
    <n v="3.44"/>
  </r>
  <r>
    <x v="1"/>
    <x v="11"/>
    <x v="3"/>
    <x v="7"/>
    <n v="6710"/>
    <n v="43668"/>
    <n v="293012280"/>
    <n v="4.4999999999999998E-2"/>
    <n v="6.62"/>
    <n v="3.44"/>
  </r>
  <r>
    <x v="1"/>
    <x v="3"/>
    <x v="0"/>
    <x v="0"/>
    <n v="10394"/>
    <n v="46758"/>
    <n v="486002652"/>
    <n v="5.0999999999999997E-2"/>
    <n v="14.27"/>
    <n v="3.68"/>
  </r>
  <r>
    <x v="1"/>
    <x v="3"/>
    <x v="0"/>
    <x v="1"/>
    <n v="3204"/>
    <n v="62773"/>
    <n v="201124692"/>
    <n v="0.05"/>
    <n v="14.27"/>
    <n v="3.68"/>
  </r>
  <r>
    <x v="1"/>
    <x v="3"/>
    <x v="0"/>
    <x v="2"/>
    <n v="4644"/>
    <n v="59926"/>
    <n v="278296344"/>
    <n v="4.9000000000000002E-2"/>
    <n v="14.27"/>
    <n v="3.68"/>
  </r>
  <r>
    <x v="1"/>
    <x v="3"/>
    <x v="0"/>
    <x v="3"/>
    <n v="11298"/>
    <n v="70244"/>
    <n v="793616712"/>
    <n v="4.2000000000000003E-2"/>
    <n v="14.27"/>
    <n v="3.68"/>
  </r>
  <r>
    <x v="1"/>
    <x v="3"/>
    <x v="0"/>
    <x v="4"/>
    <n v="9376"/>
    <n v="90844"/>
    <n v="851753344"/>
    <n v="6.5000000000000002E-2"/>
    <n v="14.27"/>
    <n v="3.68"/>
  </r>
  <r>
    <x v="1"/>
    <x v="3"/>
    <x v="0"/>
    <x v="5"/>
    <n v="5646"/>
    <n v="66576"/>
    <n v="375888096"/>
    <n v="4.5999999999999999E-2"/>
    <n v="14.27"/>
    <n v="3.68"/>
  </r>
  <r>
    <x v="1"/>
    <x v="3"/>
    <x v="0"/>
    <x v="6"/>
    <n v="5827"/>
    <n v="73365"/>
    <n v="427497855"/>
    <n v="3.6999999999999998E-2"/>
    <n v="14.27"/>
    <n v="3.68"/>
  </r>
  <r>
    <x v="1"/>
    <x v="3"/>
    <x v="0"/>
    <x v="7"/>
    <n v="6879"/>
    <n v="40398"/>
    <n v="277897842"/>
    <n v="5.8000000000000003E-2"/>
    <n v="14.27"/>
    <n v="3.68"/>
  </r>
  <r>
    <x v="1"/>
    <x v="3"/>
    <x v="1"/>
    <x v="0"/>
    <n v="7768"/>
    <n v="48415"/>
    <n v="376087720"/>
    <n v="3.6999999999999998E-2"/>
    <n v="17.850000000000001"/>
    <n v="1.92"/>
  </r>
  <r>
    <x v="1"/>
    <x v="3"/>
    <x v="1"/>
    <x v="1"/>
    <n v="9788"/>
    <n v="61246"/>
    <n v="599475848"/>
    <n v="4.3999999999999997E-2"/>
    <n v="17.850000000000001"/>
    <n v="1.92"/>
  </r>
  <r>
    <x v="1"/>
    <x v="3"/>
    <x v="1"/>
    <x v="2"/>
    <n v="6202"/>
    <n v="57640"/>
    <n v="357483280"/>
    <n v="3.5999999999999997E-2"/>
    <n v="17.850000000000001"/>
    <n v="1.92"/>
  </r>
  <r>
    <x v="1"/>
    <x v="3"/>
    <x v="1"/>
    <x v="3"/>
    <n v="10831"/>
    <n v="67118"/>
    <n v="726955058"/>
    <n v="3.5999999999999997E-2"/>
    <n v="17.850000000000001"/>
    <n v="1.92"/>
  </r>
  <r>
    <x v="1"/>
    <x v="3"/>
    <x v="1"/>
    <x v="4"/>
    <n v="6639"/>
    <n v="93747"/>
    <n v="622386333"/>
    <n v="4.2000000000000003E-2"/>
    <n v="17.850000000000001"/>
    <n v="1.92"/>
  </r>
  <r>
    <x v="1"/>
    <x v="3"/>
    <x v="1"/>
    <x v="5"/>
    <n v="11099"/>
    <n v="64882"/>
    <n v="720125318"/>
    <n v="5.1999999999999998E-2"/>
    <n v="17.850000000000001"/>
    <n v="1.92"/>
  </r>
  <r>
    <x v="1"/>
    <x v="3"/>
    <x v="1"/>
    <x v="6"/>
    <n v="7932"/>
    <n v="75207"/>
    <n v="596541924"/>
    <n v="4.4999999999999998E-2"/>
    <n v="17.850000000000001"/>
    <n v="1.92"/>
  </r>
  <r>
    <x v="1"/>
    <x v="3"/>
    <x v="1"/>
    <x v="7"/>
    <n v="6343"/>
    <n v="41311"/>
    <n v="262035673"/>
    <n v="3.5000000000000003E-2"/>
    <n v="17.850000000000001"/>
    <n v="1.92"/>
  </r>
  <r>
    <x v="1"/>
    <x v="3"/>
    <x v="2"/>
    <x v="0"/>
    <n v="11377"/>
    <n v="46487"/>
    <n v="528882599"/>
    <n v="3.6999999999999998E-2"/>
    <n v="14.31"/>
    <n v="1.93"/>
  </r>
  <r>
    <x v="1"/>
    <x v="3"/>
    <x v="2"/>
    <x v="1"/>
    <n v="8264"/>
    <n v="60845"/>
    <n v="502823080"/>
    <n v="4.7E-2"/>
    <n v="14.31"/>
    <n v="1.93"/>
  </r>
  <r>
    <x v="1"/>
    <x v="3"/>
    <x v="2"/>
    <x v="2"/>
    <n v="8578"/>
    <n v="58461"/>
    <n v="501478458"/>
    <n v="3.4000000000000002E-2"/>
    <n v="14.31"/>
    <n v="1.93"/>
  </r>
  <r>
    <x v="1"/>
    <x v="3"/>
    <x v="2"/>
    <x v="3"/>
    <n v="3116"/>
    <n v="69160"/>
    <n v="215502560"/>
    <n v="4.1000000000000002E-2"/>
    <n v="14.31"/>
    <n v="1.93"/>
  </r>
  <r>
    <x v="1"/>
    <x v="3"/>
    <x v="2"/>
    <x v="4"/>
    <n v="9326"/>
    <n v="90779"/>
    <n v="846604954"/>
    <n v="5.1999999999999998E-2"/>
    <n v="14.31"/>
    <n v="1.93"/>
  </r>
  <r>
    <x v="1"/>
    <x v="3"/>
    <x v="2"/>
    <x v="5"/>
    <n v="3675"/>
    <n v="65990"/>
    <n v="242513250"/>
    <n v="4.1000000000000002E-2"/>
    <n v="14.31"/>
    <n v="1.93"/>
  </r>
  <r>
    <x v="1"/>
    <x v="3"/>
    <x v="2"/>
    <x v="6"/>
    <n v="9977"/>
    <n v="76709"/>
    <n v="765325693"/>
    <n v="3.3000000000000002E-2"/>
    <n v="14.31"/>
    <n v="1.93"/>
  </r>
  <r>
    <x v="1"/>
    <x v="3"/>
    <x v="2"/>
    <x v="7"/>
    <n v="2740"/>
    <n v="43431"/>
    <n v="119000940"/>
    <n v="5.0999999999999997E-2"/>
    <n v="14.31"/>
    <n v="1.93"/>
  </r>
  <r>
    <x v="1"/>
    <x v="3"/>
    <x v="3"/>
    <x v="0"/>
    <n v="11046"/>
    <n v="48907"/>
    <n v="540226722"/>
    <n v="3.6999999999999998E-2"/>
    <n v="5.1100000000000003"/>
    <n v="1.71"/>
  </r>
  <r>
    <x v="1"/>
    <x v="3"/>
    <x v="3"/>
    <x v="1"/>
    <n v="5907"/>
    <n v="60769"/>
    <n v="358962483"/>
    <n v="5.3999999999999999E-2"/>
    <n v="5.1100000000000003"/>
    <n v="1.71"/>
  </r>
  <r>
    <x v="1"/>
    <x v="3"/>
    <x v="3"/>
    <x v="2"/>
    <n v="6906"/>
    <n v="57067"/>
    <n v="394104702"/>
    <n v="3.3000000000000002E-2"/>
    <n v="5.1100000000000003"/>
    <n v="1.71"/>
  </r>
  <r>
    <x v="1"/>
    <x v="3"/>
    <x v="3"/>
    <x v="3"/>
    <n v="10912"/>
    <n v="69325"/>
    <n v="756474400"/>
    <n v="4.4999999999999998E-2"/>
    <n v="5.1100000000000003"/>
    <n v="1.71"/>
  </r>
  <r>
    <x v="1"/>
    <x v="3"/>
    <x v="3"/>
    <x v="4"/>
    <n v="6119"/>
    <n v="90514"/>
    <n v="553855166"/>
    <n v="5.2999999999999999E-2"/>
    <n v="5.1100000000000003"/>
    <n v="1.71"/>
  </r>
  <r>
    <x v="1"/>
    <x v="3"/>
    <x v="3"/>
    <x v="5"/>
    <n v="11149"/>
    <n v="64653"/>
    <n v="720816297"/>
    <n v="5.3999999999999999E-2"/>
    <n v="5.1100000000000003"/>
    <n v="1.71"/>
  </r>
  <r>
    <x v="1"/>
    <x v="3"/>
    <x v="3"/>
    <x v="6"/>
    <n v="4467"/>
    <n v="76300"/>
    <n v="340832100"/>
    <n v="5.5E-2"/>
    <n v="5.1100000000000003"/>
    <n v="1.71"/>
  </r>
  <r>
    <x v="1"/>
    <x v="3"/>
    <x v="3"/>
    <x v="7"/>
    <n v="8590"/>
    <n v="40361"/>
    <n v="346700990"/>
    <n v="4.7E-2"/>
    <n v="5.1100000000000003"/>
    <n v="1.71"/>
  </r>
  <r>
    <x v="1"/>
    <x v="4"/>
    <x v="0"/>
    <x v="0"/>
    <n v="2949"/>
    <n v="49562"/>
    <n v="146158338"/>
    <n v="5.8000000000000003E-2"/>
    <n v="19.190000000000001"/>
    <n v="4.33"/>
  </r>
  <r>
    <x v="1"/>
    <x v="4"/>
    <x v="0"/>
    <x v="1"/>
    <n v="4912"/>
    <n v="63081"/>
    <n v="309853872"/>
    <n v="4.1000000000000002E-2"/>
    <n v="19.190000000000001"/>
    <n v="4.33"/>
  </r>
  <r>
    <x v="1"/>
    <x v="4"/>
    <x v="0"/>
    <x v="2"/>
    <n v="3843"/>
    <n v="56922"/>
    <n v="218751246"/>
    <n v="5.1999999999999998E-2"/>
    <n v="19.190000000000001"/>
    <n v="4.33"/>
  </r>
  <r>
    <x v="1"/>
    <x v="4"/>
    <x v="0"/>
    <x v="3"/>
    <n v="4558"/>
    <n v="68036"/>
    <n v="310108088"/>
    <n v="5.8999999999999997E-2"/>
    <n v="19.190000000000001"/>
    <n v="4.33"/>
  </r>
  <r>
    <x v="1"/>
    <x v="4"/>
    <x v="0"/>
    <x v="4"/>
    <n v="4938"/>
    <n v="90313"/>
    <n v="445965594"/>
    <n v="5.7000000000000002E-2"/>
    <n v="19.190000000000001"/>
    <n v="4.33"/>
  </r>
  <r>
    <x v="1"/>
    <x v="4"/>
    <x v="0"/>
    <x v="5"/>
    <n v="5462"/>
    <n v="65256"/>
    <n v="356428272"/>
    <n v="4.5999999999999999E-2"/>
    <n v="19.190000000000001"/>
    <n v="4.33"/>
  </r>
  <r>
    <x v="1"/>
    <x v="4"/>
    <x v="0"/>
    <x v="6"/>
    <n v="3460"/>
    <n v="76091"/>
    <n v="263274860"/>
    <n v="5.2999999999999999E-2"/>
    <n v="19.190000000000001"/>
    <n v="4.33"/>
  </r>
  <r>
    <x v="1"/>
    <x v="4"/>
    <x v="0"/>
    <x v="7"/>
    <n v="5023"/>
    <n v="43983"/>
    <n v="220926609"/>
    <n v="5.2999999999999999E-2"/>
    <n v="19.190000000000001"/>
    <n v="4.33"/>
  </r>
  <r>
    <x v="1"/>
    <x v="4"/>
    <x v="1"/>
    <x v="0"/>
    <n v="3546"/>
    <n v="47155"/>
    <n v="167211630"/>
    <n v="4.2000000000000003E-2"/>
    <n v="20.14"/>
    <n v="2.5499999999999998"/>
  </r>
  <r>
    <x v="1"/>
    <x v="4"/>
    <x v="1"/>
    <x v="1"/>
    <n v="11482"/>
    <n v="61929"/>
    <n v="711068778"/>
    <n v="3.5999999999999997E-2"/>
    <n v="20.14"/>
    <n v="2.5499999999999998"/>
  </r>
  <r>
    <x v="1"/>
    <x v="4"/>
    <x v="1"/>
    <x v="2"/>
    <n v="3437"/>
    <n v="57492"/>
    <n v="197600004"/>
    <n v="2.8000000000000001E-2"/>
    <n v="20.14"/>
    <n v="2.5499999999999998"/>
  </r>
  <r>
    <x v="1"/>
    <x v="4"/>
    <x v="1"/>
    <x v="3"/>
    <n v="4425"/>
    <n v="67870"/>
    <n v="300324750"/>
    <n v="0.06"/>
    <n v="20.14"/>
    <n v="2.5499999999999998"/>
  </r>
  <r>
    <x v="1"/>
    <x v="4"/>
    <x v="1"/>
    <x v="4"/>
    <n v="8210"/>
    <n v="92320"/>
    <n v="757947200"/>
    <n v="4.1000000000000002E-2"/>
    <n v="20.14"/>
    <n v="2.5499999999999998"/>
  </r>
  <r>
    <x v="1"/>
    <x v="4"/>
    <x v="1"/>
    <x v="5"/>
    <n v="4954"/>
    <n v="66292"/>
    <n v="328410568"/>
    <n v="3.3000000000000002E-2"/>
    <n v="20.14"/>
    <n v="2.5499999999999998"/>
  </r>
  <r>
    <x v="1"/>
    <x v="4"/>
    <x v="1"/>
    <x v="6"/>
    <n v="5955"/>
    <n v="74078"/>
    <n v="441134490"/>
    <n v="4.5999999999999999E-2"/>
    <n v="20.14"/>
    <n v="2.5499999999999998"/>
  </r>
  <r>
    <x v="1"/>
    <x v="4"/>
    <x v="1"/>
    <x v="7"/>
    <n v="8946"/>
    <n v="42947"/>
    <n v="384203862"/>
    <n v="3.7999999999999999E-2"/>
    <n v="20.14"/>
    <n v="2.5499999999999998"/>
  </r>
  <r>
    <x v="1"/>
    <x v="4"/>
    <x v="2"/>
    <x v="0"/>
    <n v="5763"/>
    <n v="46997"/>
    <n v="270843711"/>
    <n v="5.6000000000000001E-2"/>
    <n v="18.2"/>
    <n v="2.98"/>
  </r>
  <r>
    <x v="1"/>
    <x v="4"/>
    <x v="2"/>
    <x v="1"/>
    <n v="3294"/>
    <n v="63775"/>
    <n v="210074850"/>
    <n v="3.9E-2"/>
    <n v="18.2"/>
    <n v="2.98"/>
  </r>
  <r>
    <x v="1"/>
    <x v="4"/>
    <x v="2"/>
    <x v="2"/>
    <n v="10883"/>
    <n v="58160"/>
    <n v="632955280"/>
    <n v="3.5999999999999997E-2"/>
    <n v="18.2"/>
    <n v="2.98"/>
  </r>
  <r>
    <x v="1"/>
    <x v="4"/>
    <x v="2"/>
    <x v="3"/>
    <n v="11642"/>
    <n v="69528"/>
    <n v="809444976"/>
    <n v="4.2000000000000003E-2"/>
    <n v="18.2"/>
    <n v="2.98"/>
  </r>
  <r>
    <x v="1"/>
    <x v="4"/>
    <x v="2"/>
    <x v="4"/>
    <n v="3590"/>
    <n v="90475"/>
    <n v="324805250"/>
    <n v="3.9E-2"/>
    <n v="18.2"/>
    <n v="2.98"/>
  </r>
  <r>
    <x v="1"/>
    <x v="4"/>
    <x v="2"/>
    <x v="5"/>
    <n v="3443"/>
    <n v="64141"/>
    <n v="220837463"/>
    <n v="4.2999999999999997E-2"/>
    <n v="18.2"/>
    <n v="2.98"/>
  </r>
  <r>
    <x v="1"/>
    <x v="4"/>
    <x v="2"/>
    <x v="6"/>
    <n v="3701"/>
    <n v="73398"/>
    <n v="271645998"/>
    <n v="3.2000000000000001E-2"/>
    <n v="18.2"/>
    <n v="2.98"/>
  </r>
  <r>
    <x v="1"/>
    <x v="4"/>
    <x v="2"/>
    <x v="7"/>
    <n v="4141"/>
    <n v="41582"/>
    <n v="172191062"/>
    <n v="4.4999999999999998E-2"/>
    <n v="18.2"/>
    <n v="2.98"/>
  </r>
  <r>
    <x v="1"/>
    <x v="4"/>
    <x v="3"/>
    <x v="0"/>
    <n v="5842"/>
    <n v="46137"/>
    <n v="269532354"/>
    <n v="4.8000000000000001E-2"/>
    <n v="6.14"/>
    <n v="2.63"/>
  </r>
  <r>
    <x v="1"/>
    <x v="4"/>
    <x v="3"/>
    <x v="1"/>
    <n v="4498"/>
    <n v="61794"/>
    <n v="277949412"/>
    <n v="3.1E-2"/>
    <n v="6.14"/>
    <n v="2.63"/>
  </r>
  <r>
    <x v="1"/>
    <x v="4"/>
    <x v="3"/>
    <x v="2"/>
    <n v="7405"/>
    <n v="59701"/>
    <n v="442085905"/>
    <n v="5.1999999999999998E-2"/>
    <n v="6.14"/>
    <n v="2.63"/>
  </r>
  <r>
    <x v="1"/>
    <x v="4"/>
    <x v="3"/>
    <x v="3"/>
    <n v="5143"/>
    <n v="70920"/>
    <n v="364741560"/>
    <n v="6.2E-2"/>
    <n v="6.14"/>
    <n v="2.63"/>
  </r>
  <r>
    <x v="1"/>
    <x v="4"/>
    <x v="3"/>
    <x v="4"/>
    <n v="10456"/>
    <n v="91449"/>
    <n v="956190744"/>
    <n v="4.8000000000000001E-2"/>
    <n v="6.14"/>
    <n v="2.63"/>
  </r>
  <r>
    <x v="1"/>
    <x v="4"/>
    <x v="3"/>
    <x v="5"/>
    <n v="10996"/>
    <n v="66373"/>
    <n v="729837508"/>
    <n v="4.3999999999999997E-2"/>
    <n v="6.14"/>
    <n v="2.63"/>
  </r>
  <r>
    <x v="1"/>
    <x v="4"/>
    <x v="3"/>
    <x v="6"/>
    <n v="7355"/>
    <n v="76145"/>
    <n v="560046475"/>
    <n v="0.05"/>
    <n v="6.14"/>
    <n v="2.63"/>
  </r>
  <r>
    <x v="1"/>
    <x v="4"/>
    <x v="3"/>
    <x v="7"/>
    <n v="11150"/>
    <n v="42308"/>
    <n v="471734200"/>
    <n v="0.04"/>
    <n v="6.14"/>
    <n v="2.63"/>
  </r>
  <r>
    <x v="1"/>
    <x v="5"/>
    <x v="0"/>
    <x v="0"/>
    <n v="11286"/>
    <n v="49384"/>
    <n v="557347824"/>
    <n v="1.6E-2"/>
    <n v="14.35"/>
    <n v="3.91"/>
  </r>
  <r>
    <x v="1"/>
    <x v="5"/>
    <x v="0"/>
    <x v="1"/>
    <n v="3608"/>
    <n v="61851"/>
    <n v="223158408"/>
    <n v="4.2999999999999997E-2"/>
    <n v="14.35"/>
    <n v="3.91"/>
  </r>
  <r>
    <x v="1"/>
    <x v="5"/>
    <x v="0"/>
    <x v="2"/>
    <n v="11365"/>
    <n v="57687"/>
    <n v="655612755"/>
    <n v="4.9000000000000002E-2"/>
    <n v="14.35"/>
    <n v="3.91"/>
  </r>
  <r>
    <x v="1"/>
    <x v="5"/>
    <x v="0"/>
    <x v="3"/>
    <n v="10613"/>
    <n v="69973"/>
    <n v="742623449"/>
    <n v="3.9E-2"/>
    <n v="14.35"/>
    <n v="3.91"/>
  </r>
  <r>
    <x v="1"/>
    <x v="5"/>
    <x v="0"/>
    <x v="4"/>
    <n v="4453"/>
    <n v="91243"/>
    <n v="406305079"/>
    <n v="4.3999999999999997E-2"/>
    <n v="14.35"/>
    <n v="3.91"/>
  </r>
  <r>
    <x v="1"/>
    <x v="5"/>
    <x v="0"/>
    <x v="5"/>
    <n v="8495"/>
    <n v="63162"/>
    <n v="536561190"/>
    <n v="4.2999999999999997E-2"/>
    <n v="14.35"/>
    <n v="3.91"/>
  </r>
  <r>
    <x v="1"/>
    <x v="5"/>
    <x v="0"/>
    <x v="6"/>
    <n v="5069"/>
    <n v="76919"/>
    <n v="389902411"/>
    <n v="4.2999999999999997E-2"/>
    <n v="14.35"/>
    <n v="3.91"/>
  </r>
  <r>
    <x v="1"/>
    <x v="5"/>
    <x v="0"/>
    <x v="7"/>
    <n v="5114"/>
    <n v="41641"/>
    <n v="212952074"/>
    <n v="4.9000000000000002E-2"/>
    <n v="14.35"/>
    <n v="3.91"/>
  </r>
  <r>
    <x v="1"/>
    <x v="5"/>
    <x v="1"/>
    <x v="0"/>
    <n v="8890"/>
    <n v="49590"/>
    <n v="440855100"/>
    <n v="2.1000000000000001E-2"/>
    <n v="15.09"/>
    <n v="2.52"/>
  </r>
  <r>
    <x v="1"/>
    <x v="5"/>
    <x v="1"/>
    <x v="1"/>
    <n v="3592"/>
    <n v="63831"/>
    <n v="229280952"/>
    <n v="5.3999999999999999E-2"/>
    <n v="15.09"/>
    <n v="2.52"/>
  </r>
  <r>
    <x v="1"/>
    <x v="5"/>
    <x v="1"/>
    <x v="2"/>
    <n v="4159"/>
    <n v="59959"/>
    <n v="249369481"/>
    <n v="5.7000000000000002E-2"/>
    <n v="15.09"/>
    <n v="2.52"/>
  </r>
  <r>
    <x v="1"/>
    <x v="5"/>
    <x v="1"/>
    <x v="3"/>
    <n v="9953"/>
    <n v="68336"/>
    <n v="680148208"/>
    <n v="4.1000000000000002E-2"/>
    <n v="15.09"/>
    <n v="2.52"/>
  </r>
  <r>
    <x v="1"/>
    <x v="5"/>
    <x v="1"/>
    <x v="4"/>
    <n v="7659"/>
    <n v="93031"/>
    <n v="712524429"/>
    <n v="3.4000000000000002E-2"/>
    <n v="15.09"/>
    <n v="2.52"/>
  </r>
  <r>
    <x v="1"/>
    <x v="5"/>
    <x v="1"/>
    <x v="5"/>
    <n v="5028"/>
    <n v="63370"/>
    <n v="318624360"/>
    <n v="5.0999999999999997E-2"/>
    <n v="15.09"/>
    <n v="2.52"/>
  </r>
  <r>
    <x v="1"/>
    <x v="5"/>
    <x v="1"/>
    <x v="6"/>
    <n v="9603"/>
    <n v="76064"/>
    <n v="730442592"/>
    <n v="3.9E-2"/>
    <n v="15.09"/>
    <n v="2.52"/>
  </r>
  <r>
    <x v="1"/>
    <x v="5"/>
    <x v="1"/>
    <x v="7"/>
    <n v="3508"/>
    <n v="43062"/>
    <n v="151061496"/>
    <n v="6.0999999999999999E-2"/>
    <n v="15.09"/>
    <n v="2.52"/>
  </r>
  <r>
    <x v="1"/>
    <x v="5"/>
    <x v="2"/>
    <x v="0"/>
    <n v="9824"/>
    <n v="49669"/>
    <n v="487948256"/>
    <n v="4.2000000000000003E-2"/>
    <n v="15.59"/>
    <n v="3.37"/>
  </r>
  <r>
    <x v="1"/>
    <x v="5"/>
    <x v="2"/>
    <x v="1"/>
    <n v="8071"/>
    <n v="61633"/>
    <n v="497439943"/>
    <n v="4.7E-2"/>
    <n v="15.59"/>
    <n v="3.37"/>
  </r>
  <r>
    <x v="1"/>
    <x v="5"/>
    <x v="2"/>
    <x v="2"/>
    <n v="4551"/>
    <n v="56852"/>
    <n v="258733452"/>
    <n v="3.4000000000000002E-2"/>
    <n v="15.59"/>
    <n v="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2018"/>
    <n v="1"/>
    <x v="0"/>
    <x v="0"/>
    <n v="7822"/>
    <n v="47482"/>
    <n v="371404204"/>
    <n v="1.0999999999999999E-2"/>
    <n v="19.12"/>
    <n v="3.5"/>
    <n v="504226100"/>
    <n v="504226100"/>
    <s v="Low Growth"/>
  </r>
  <r>
    <n v="2018"/>
    <n v="1"/>
    <x v="0"/>
    <x v="1"/>
    <n v="10280"/>
    <n v="61685"/>
    <n v="634121800"/>
    <n v="1.9E-2"/>
    <n v="19.12"/>
    <n v="3.5"/>
    <m/>
    <m/>
    <s v="Low Growth"/>
  </r>
  <r>
    <n v="2018"/>
    <n v="1"/>
    <x v="0"/>
    <x v="2"/>
    <n v="3105"/>
    <n v="58433"/>
    <n v="181434465"/>
    <n v="2.1999999999999999E-2"/>
    <n v="19.12"/>
    <n v="3.5"/>
    <m/>
    <m/>
    <s v="Low Growth"/>
  </r>
  <r>
    <n v="2018"/>
    <n v="1"/>
    <x v="0"/>
    <x v="3"/>
    <n v="7420"/>
    <n v="67955"/>
    <n v="504226100"/>
    <n v="2.1000000000000001E-2"/>
    <n v="19.12"/>
    <n v="3.5"/>
    <m/>
    <m/>
    <s v="Low Growth"/>
  </r>
  <r>
    <n v="2018"/>
    <n v="1"/>
    <x v="0"/>
    <x v="4"/>
    <n v="8474"/>
    <n v="92300"/>
    <n v="782150200"/>
    <n v="3.5000000000000003E-2"/>
    <n v="19.12"/>
    <n v="3.5"/>
    <m/>
    <m/>
    <s v="High Growth"/>
  </r>
  <r>
    <n v="2018"/>
    <n v="1"/>
    <x v="0"/>
    <x v="5"/>
    <n v="10607"/>
    <n v="64082"/>
    <n v="679717774"/>
    <n v="3.5000000000000003E-2"/>
    <n v="19.12"/>
    <n v="3.5"/>
    <m/>
    <m/>
    <s v="High Growth"/>
  </r>
  <r>
    <n v="2018"/>
    <n v="1"/>
    <x v="0"/>
    <x v="6"/>
    <n v="4805"/>
    <n v="73975"/>
    <n v="355449875"/>
    <n v="1.6E-2"/>
    <n v="19.12"/>
    <n v="3.5"/>
    <m/>
    <m/>
    <s v="Low Growth"/>
  </r>
  <r>
    <n v="2018"/>
    <n v="1"/>
    <x v="0"/>
    <x v="7"/>
    <n v="2554"/>
    <n v="43005"/>
    <n v="109834770"/>
    <n v="1.2999999999999999E-2"/>
    <n v="19.12"/>
    <n v="3.5"/>
    <m/>
    <m/>
    <s v="Low Growth"/>
  </r>
  <r>
    <n v="2018"/>
    <n v="1"/>
    <x v="1"/>
    <x v="0"/>
    <n v="3826"/>
    <n v="48068"/>
    <n v="183908168"/>
    <n v="2.1000000000000001E-2"/>
    <n v="17.600000000000001"/>
    <n v="2.37"/>
    <m/>
    <m/>
    <s v="Low Growth"/>
  </r>
  <r>
    <n v="2018"/>
    <n v="1"/>
    <x v="1"/>
    <x v="1"/>
    <n v="7498"/>
    <n v="62435"/>
    <n v="468137630"/>
    <n v="1.4999999999999999E-2"/>
    <n v="17.600000000000001"/>
    <n v="2.37"/>
    <m/>
    <m/>
    <s v="Low Growth"/>
  </r>
  <r>
    <n v="2018"/>
    <n v="1"/>
    <x v="1"/>
    <x v="2"/>
    <n v="10727"/>
    <n v="57363"/>
    <n v="615332901"/>
    <n v="1.4E-2"/>
    <n v="17.600000000000001"/>
    <n v="2.37"/>
    <m/>
    <m/>
    <s v="Low Growth"/>
  </r>
  <r>
    <n v="2018"/>
    <n v="1"/>
    <x v="1"/>
    <x v="3"/>
    <n v="8298"/>
    <n v="68390"/>
    <n v="567500220"/>
    <n v="1.7000000000000001E-2"/>
    <n v="17.600000000000001"/>
    <n v="2.37"/>
    <m/>
    <m/>
    <s v="Low Growth"/>
  </r>
  <r>
    <n v="2018"/>
    <n v="1"/>
    <x v="1"/>
    <x v="4"/>
    <n v="9119"/>
    <n v="90034"/>
    <n v="821020046"/>
    <n v="0.02"/>
    <n v="17.600000000000001"/>
    <n v="2.37"/>
    <m/>
    <m/>
    <s v="Low Growth"/>
  </r>
  <r>
    <n v="2018"/>
    <n v="1"/>
    <x v="1"/>
    <x v="5"/>
    <n v="5369"/>
    <n v="64955"/>
    <n v="348743395"/>
    <n v="8.9999999999999993E-3"/>
    <n v="17.600000000000001"/>
    <n v="2.37"/>
    <m/>
    <m/>
    <s v="Low Growth"/>
  </r>
  <r>
    <n v="2018"/>
    <n v="1"/>
    <x v="1"/>
    <x v="6"/>
    <n v="3880"/>
    <n v="76461"/>
    <n v="296668680"/>
    <n v="7.0000000000000001E-3"/>
    <n v="17.600000000000001"/>
    <n v="2.37"/>
    <m/>
    <m/>
    <s v="Low Growth"/>
  </r>
  <r>
    <n v="2018"/>
    <n v="1"/>
    <x v="1"/>
    <x v="7"/>
    <n v="6025"/>
    <n v="43893"/>
    <n v="264455325"/>
    <n v="3.1E-2"/>
    <n v="17.600000000000001"/>
    <n v="2.37"/>
    <m/>
    <m/>
    <s v="High Growth"/>
  </r>
  <r>
    <n v="2018"/>
    <n v="1"/>
    <x v="2"/>
    <x v="0"/>
    <n v="9622"/>
    <n v="46337"/>
    <n v="445854614"/>
    <n v="0.01"/>
    <n v="20.49"/>
    <n v="0.82"/>
    <m/>
    <m/>
    <s v="Low Growth"/>
  </r>
  <r>
    <n v="2018"/>
    <n v="1"/>
    <x v="2"/>
    <x v="1"/>
    <n v="3209"/>
    <n v="61076"/>
    <n v="195992884"/>
    <n v="4.0000000000000001E-3"/>
    <n v="20.49"/>
    <n v="0.82"/>
    <m/>
    <m/>
    <s v="Low Growth"/>
  </r>
  <r>
    <n v="2018"/>
    <n v="1"/>
    <x v="2"/>
    <x v="2"/>
    <n v="7017"/>
    <n v="56379"/>
    <n v="395611443"/>
    <n v="7.0000000000000001E-3"/>
    <n v="20.49"/>
    <n v="0.82"/>
    <m/>
    <m/>
    <s v="Low Growth"/>
  </r>
  <r>
    <n v="2018"/>
    <n v="1"/>
    <x v="2"/>
    <x v="3"/>
    <n v="10624"/>
    <n v="70112"/>
    <n v="744869888"/>
    <n v="1.0999999999999999E-2"/>
    <n v="20.49"/>
    <n v="0.82"/>
    <m/>
    <m/>
    <s v="Low Growth"/>
  </r>
  <r>
    <n v="2018"/>
    <n v="1"/>
    <x v="2"/>
    <x v="4"/>
    <n v="7387"/>
    <n v="91698"/>
    <n v="677373126"/>
    <n v="2.5999999999999999E-2"/>
    <n v="20.49"/>
    <n v="0.82"/>
    <m/>
    <m/>
    <s v="Low Growth"/>
  </r>
  <r>
    <n v="2018"/>
    <n v="1"/>
    <x v="2"/>
    <x v="5"/>
    <n v="7972"/>
    <n v="66561"/>
    <n v="530624292"/>
    <n v="2.9000000000000001E-2"/>
    <n v="20.49"/>
    <n v="0.82"/>
    <m/>
    <m/>
    <s v="Low Growth"/>
  </r>
  <r>
    <n v="2018"/>
    <n v="1"/>
    <x v="2"/>
    <x v="6"/>
    <n v="8249"/>
    <n v="73502"/>
    <n v="606317998"/>
    <n v="1.0999999999999999E-2"/>
    <n v="20.49"/>
    <n v="0.82"/>
    <m/>
    <m/>
    <s v="Low Growth"/>
  </r>
  <r>
    <n v="2018"/>
    <n v="1"/>
    <x v="2"/>
    <x v="7"/>
    <n v="4706"/>
    <n v="43645"/>
    <n v="205393370"/>
    <n v="1.9E-2"/>
    <n v="20.49"/>
    <n v="0.82"/>
    <m/>
    <m/>
    <s v="Low Growth"/>
  </r>
  <r>
    <n v="2018"/>
    <n v="1"/>
    <x v="3"/>
    <x v="0"/>
    <n v="10121"/>
    <n v="47485"/>
    <n v="480595685"/>
    <n v="0"/>
    <n v="6.28"/>
    <n v="4.18"/>
    <m/>
    <m/>
    <s v="Low Growth"/>
  </r>
  <r>
    <n v="2018"/>
    <n v="1"/>
    <x v="3"/>
    <x v="1"/>
    <n v="6023"/>
    <n v="61028"/>
    <n v="367571644"/>
    <n v="3.1E-2"/>
    <n v="6.28"/>
    <n v="4.18"/>
    <m/>
    <m/>
    <s v="High Growth"/>
  </r>
  <r>
    <n v="2018"/>
    <n v="1"/>
    <x v="3"/>
    <x v="2"/>
    <n v="9390"/>
    <n v="58842"/>
    <n v="552526380"/>
    <n v="1.2E-2"/>
    <n v="6.28"/>
    <n v="4.18"/>
    <m/>
    <m/>
    <s v="Low Growth"/>
  </r>
  <r>
    <n v="2018"/>
    <n v="1"/>
    <x v="3"/>
    <x v="3"/>
    <n v="6638"/>
    <n v="67206"/>
    <n v="446113428"/>
    <n v="1.2E-2"/>
    <n v="6.28"/>
    <n v="4.18"/>
    <m/>
    <m/>
    <s v="Low Growth"/>
  </r>
  <r>
    <n v="2018"/>
    <n v="1"/>
    <x v="3"/>
    <x v="4"/>
    <n v="7252"/>
    <n v="93762"/>
    <n v="679962024"/>
    <n v="1.7999999999999999E-2"/>
    <n v="6.28"/>
    <n v="4.18"/>
    <m/>
    <m/>
    <s v="Low Growth"/>
  </r>
  <r>
    <n v="2018"/>
    <n v="1"/>
    <x v="3"/>
    <x v="5"/>
    <n v="3194"/>
    <n v="65790"/>
    <n v="210133260"/>
    <n v="0.01"/>
    <n v="6.28"/>
    <n v="4.18"/>
    <m/>
    <m/>
    <s v="Low Growth"/>
  </r>
  <r>
    <n v="2018"/>
    <n v="1"/>
    <x v="3"/>
    <x v="6"/>
    <n v="9412"/>
    <n v="74757"/>
    <n v="703612884"/>
    <n v="2.1000000000000001E-2"/>
    <n v="6.28"/>
    <n v="4.18"/>
    <m/>
    <m/>
    <s v="Low Growth"/>
  </r>
  <r>
    <n v="2018"/>
    <n v="1"/>
    <x v="3"/>
    <x v="7"/>
    <n v="9570"/>
    <n v="42278"/>
    <n v="404600460"/>
    <n v="0"/>
    <n v="6.28"/>
    <n v="4.18"/>
    <m/>
    <m/>
    <s v="Low Growth"/>
  </r>
  <r>
    <n v="2018"/>
    <n v="5"/>
    <x v="0"/>
    <x v="0"/>
    <n v="5143"/>
    <n v="47365"/>
    <n v="243598195"/>
    <n v="3.3000000000000002E-2"/>
    <n v="19.260000000000002"/>
    <n v="2.78"/>
    <m/>
    <m/>
    <s v="High Growth"/>
  </r>
  <r>
    <n v="2018"/>
    <n v="5"/>
    <x v="0"/>
    <x v="1"/>
    <n v="6642"/>
    <n v="60698"/>
    <n v="403156116"/>
    <n v="0.02"/>
    <n v="19.260000000000002"/>
    <n v="2.78"/>
    <m/>
    <m/>
    <s v="Low Growth"/>
  </r>
  <r>
    <n v="2018"/>
    <n v="5"/>
    <x v="0"/>
    <x v="2"/>
    <n v="9201"/>
    <n v="59455"/>
    <n v="547045455"/>
    <n v="2.3E-2"/>
    <n v="19.260000000000002"/>
    <n v="2.78"/>
    <m/>
    <m/>
    <s v="Low Growth"/>
  </r>
  <r>
    <n v="2018"/>
    <n v="5"/>
    <x v="0"/>
    <x v="3"/>
    <n v="7073"/>
    <n v="70577"/>
    <n v="499191121"/>
    <n v="1.9E-2"/>
    <n v="19.260000000000002"/>
    <n v="2.78"/>
    <m/>
    <m/>
    <s v="Low Growth"/>
  </r>
  <r>
    <n v="2018"/>
    <n v="5"/>
    <x v="0"/>
    <x v="4"/>
    <n v="7586"/>
    <n v="91492"/>
    <n v="694058312"/>
    <n v="3.1E-2"/>
    <n v="19.260000000000002"/>
    <n v="2.78"/>
    <m/>
    <m/>
    <s v="High Growth"/>
  </r>
  <r>
    <n v="2018"/>
    <n v="5"/>
    <x v="0"/>
    <x v="5"/>
    <n v="9643"/>
    <n v="66636"/>
    <n v="642570948"/>
    <n v="4.1000000000000002E-2"/>
    <n v="19.260000000000002"/>
    <n v="2.78"/>
    <m/>
    <m/>
    <s v="High Growth"/>
  </r>
  <r>
    <n v="2018"/>
    <n v="5"/>
    <x v="0"/>
    <x v="6"/>
    <n v="3483"/>
    <n v="76294"/>
    <n v="265732002"/>
    <n v="1.2999999999999999E-2"/>
    <n v="19.260000000000002"/>
    <n v="2.78"/>
    <m/>
    <m/>
    <s v="Low Growth"/>
  </r>
  <r>
    <n v="2018"/>
    <n v="5"/>
    <x v="0"/>
    <x v="7"/>
    <n v="6867"/>
    <n v="41156"/>
    <n v="282618252"/>
    <n v="0.02"/>
    <n v="19.260000000000002"/>
    <n v="2.78"/>
    <m/>
    <m/>
    <s v="Low Growth"/>
  </r>
  <r>
    <n v="2018"/>
    <n v="5"/>
    <x v="1"/>
    <x v="0"/>
    <n v="6978"/>
    <n v="48539"/>
    <n v="338705142"/>
    <n v="2.4E-2"/>
    <n v="18.940000000000001"/>
    <n v="3.32"/>
    <m/>
    <m/>
    <s v="Low Growth"/>
  </r>
  <r>
    <n v="2018"/>
    <n v="5"/>
    <x v="1"/>
    <x v="1"/>
    <n v="9078"/>
    <n v="63324"/>
    <n v="574855272"/>
    <n v="1.4E-2"/>
    <n v="18.940000000000001"/>
    <n v="3.32"/>
    <m/>
    <m/>
    <s v="Low Growth"/>
  </r>
  <r>
    <n v="2018"/>
    <n v="5"/>
    <x v="1"/>
    <x v="2"/>
    <n v="3839"/>
    <n v="57416"/>
    <n v="220420024"/>
    <n v="6.0000000000000001E-3"/>
    <n v="18.940000000000001"/>
    <n v="3.32"/>
    <m/>
    <m/>
    <s v="Low Growth"/>
  </r>
  <r>
    <n v="2018"/>
    <n v="5"/>
    <x v="1"/>
    <x v="3"/>
    <n v="8966"/>
    <n v="69681"/>
    <n v="624759846"/>
    <n v="1.6E-2"/>
    <n v="18.940000000000001"/>
    <n v="3.32"/>
    <m/>
    <m/>
    <s v="Low Growth"/>
  </r>
  <r>
    <n v="2018"/>
    <n v="5"/>
    <x v="1"/>
    <x v="4"/>
    <n v="11313"/>
    <n v="90510"/>
    <n v="1023939630"/>
    <n v="3.2000000000000001E-2"/>
    <n v="18.940000000000001"/>
    <n v="3.32"/>
    <m/>
    <m/>
    <s v="High Growth"/>
  </r>
  <r>
    <n v="2018"/>
    <n v="5"/>
    <x v="1"/>
    <x v="5"/>
    <n v="9494"/>
    <n v="63216"/>
    <n v="600172704"/>
    <n v="1.4999999999999999E-2"/>
    <n v="18.940000000000001"/>
    <n v="3.32"/>
    <m/>
    <m/>
    <s v="Low Growth"/>
  </r>
  <r>
    <n v="2018"/>
    <n v="5"/>
    <x v="1"/>
    <x v="6"/>
    <n v="3632"/>
    <n v="76486"/>
    <n v="277797152"/>
    <n v="1.2999999999999999E-2"/>
    <n v="18.940000000000001"/>
    <n v="3.32"/>
    <m/>
    <m/>
    <s v="Low Growth"/>
  </r>
  <r>
    <n v="2018"/>
    <n v="5"/>
    <x v="1"/>
    <x v="7"/>
    <n v="4094"/>
    <n v="42492"/>
    <n v="173962248"/>
    <n v="3.4000000000000002E-2"/>
    <n v="18.940000000000001"/>
    <n v="3.32"/>
    <m/>
    <m/>
    <s v="High Growth"/>
  </r>
  <r>
    <n v="2018"/>
    <n v="5"/>
    <x v="2"/>
    <x v="0"/>
    <n v="6429"/>
    <n v="47081"/>
    <n v="302683749"/>
    <n v="0.02"/>
    <n v="15.74"/>
    <n v="4.4800000000000004"/>
    <m/>
    <m/>
    <s v="Low Growth"/>
  </r>
  <r>
    <n v="2018"/>
    <n v="5"/>
    <x v="2"/>
    <x v="1"/>
    <n v="8663"/>
    <n v="60455"/>
    <n v="523721665"/>
    <n v="1.7000000000000001E-2"/>
    <n v="15.74"/>
    <n v="4.4800000000000004"/>
    <m/>
    <m/>
    <s v="Low Growth"/>
  </r>
  <r>
    <n v="2018"/>
    <n v="5"/>
    <x v="2"/>
    <x v="2"/>
    <n v="11006"/>
    <n v="57996"/>
    <n v="638303976"/>
    <n v="3.3000000000000002E-2"/>
    <n v="15.74"/>
    <n v="4.4800000000000004"/>
    <m/>
    <m/>
    <s v="High Growth"/>
  </r>
  <r>
    <n v="2018"/>
    <n v="5"/>
    <x v="2"/>
    <x v="3"/>
    <n v="2853"/>
    <n v="68214"/>
    <n v="194614542"/>
    <n v="2.8000000000000001E-2"/>
    <n v="15.74"/>
    <n v="4.4800000000000004"/>
    <m/>
    <m/>
    <s v="Low Growth"/>
  </r>
  <r>
    <n v="2018"/>
    <n v="5"/>
    <x v="2"/>
    <x v="4"/>
    <n v="3829"/>
    <n v="90933"/>
    <n v="348182457"/>
    <n v="2.7E-2"/>
    <n v="15.74"/>
    <n v="4.4800000000000004"/>
    <m/>
    <m/>
    <s v="Low Growth"/>
  </r>
  <r>
    <n v="2018"/>
    <n v="5"/>
    <x v="2"/>
    <x v="5"/>
    <n v="2501"/>
    <n v="65105"/>
    <n v="162827605"/>
    <n v="1.6E-2"/>
    <n v="15.74"/>
    <n v="4.4800000000000004"/>
    <m/>
    <m/>
    <s v="Low Growth"/>
  </r>
  <r>
    <n v="2018"/>
    <n v="5"/>
    <x v="2"/>
    <x v="6"/>
    <n v="5820"/>
    <n v="73814"/>
    <n v="429597480"/>
    <n v="0.02"/>
    <n v="15.74"/>
    <n v="4.4800000000000004"/>
    <m/>
    <m/>
    <s v="Low Growth"/>
  </r>
  <r>
    <n v="2018"/>
    <n v="5"/>
    <x v="2"/>
    <x v="7"/>
    <n v="6341"/>
    <n v="42933"/>
    <n v="272238153"/>
    <n v="2.4E-2"/>
    <n v="15.74"/>
    <n v="4.4800000000000004"/>
    <m/>
    <m/>
    <s v="Low Growth"/>
  </r>
  <r>
    <n v="2018"/>
    <n v="5"/>
    <x v="3"/>
    <x v="0"/>
    <n v="8255"/>
    <n v="49486"/>
    <n v="408506930"/>
    <n v="3.5000000000000003E-2"/>
    <n v="5.15"/>
    <n v="3.84"/>
    <m/>
    <m/>
    <s v="High Growth"/>
  </r>
  <r>
    <n v="2018"/>
    <n v="5"/>
    <x v="3"/>
    <x v="1"/>
    <n v="5779"/>
    <n v="61396"/>
    <n v="354807484"/>
    <n v="0.03"/>
    <n v="5.15"/>
    <n v="3.84"/>
    <m/>
    <m/>
    <s v="Low Growth"/>
  </r>
  <r>
    <n v="2018"/>
    <n v="5"/>
    <x v="3"/>
    <x v="2"/>
    <n v="10025"/>
    <n v="59018"/>
    <n v="591655450"/>
    <n v="3.4000000000000002E-2"/>
    <n v="5.15"/>
    <n v="3.84"/>
    <m/>
    <m/>
    <s v="High Growth"/>
  </r>
  <r>
    <n v="2018"/>
    <n v="5"/>
    <x v="3"/>
    <x v="3"/>
    <n v="3660"/>
    <n v="69783"/>
    <n v="255405780"/>
    <n v="1.2999999999999999E-2"/>
    <n v="5.15"/>
    <n v="3.84"/>
    <m/>
    <m/>
    <s v="Low Growth"/>
  </r>
  <r>
    <n v="2018"/>
    <n v="5"/>
    <x v="3"/>
    <x v="4"/>
    <n v="7184"/>
    <n v="90372"/>
    <n v="649232448"/>
    <n v="1.0999999999999999E-2"/>
    <n v="5.15"/>
    <n v="3.84"/>
    <m/>
    <m/>
    <s v="Low Growth"/>
  </r>
  <r>
    <n v="2018"/>
    <n v="5"/>
    <x v="3"/>
    <x v="5"/>
    <n v="11245"/>
    <n v="64371"/>
    <n v="723851895"/>
    <n v="1.7999999999999999E-2"/>
    <n v="5.15"/>
    <n v="3.84"/>
    <m/>
    <m/>
    <s v="Low Growth"/>
  </r>
  <r>
    <n v="2018"/>
    <n v="5"/>
    <x v="3"/>
    <x v="6"/>
    <n v="8853"/>
    <n v="76249"/>
    <n v="675032397"/>
    <n v="-1E-3"/>
    <n v="5.15"/>
    <n v="3.84"/>
    <m/>
    <m/>
    <s v="Low Growth"/>
  </r>
  <r>
    <n v="2018"/>
    <n v="5"/>
    <x v="3"/>
    <x v="7"/>
    <n v="2887"/>
    <n v="42779"/>
    <n v="123502973"/>
    <n v="1.4999999999999999E-2"/>
    <n v="5.15"/>
    <n v="3.84"/>
    <m/>
    <m/>
    <s v="Low Growth"/>
  </r>
  <r>
    <n v="2018"/>
    <n v="6"/>
    <x v="0"/>
    <x v="0"/>
    <n v="10562"/>
    <n v="49795"/>
    <n v="525934790"/>
    <n v="1E-3"/>
    <n v="17.170000000000002"/>
    <n v="1.67"/>
    <m/>
    <m/>
    <s v="Low Growth"/>
  </r>
  <r>
    <n v="2018"/>
    <n v="6"/>
    <x v="0"/>
    <x v="1"/>
    <n v="5806"/>
    <n v="62799"/>
    <n v="364610994"/>
    <n v="2.4E-2"/>
    <n v="17.170000000000002"/>
    <n v="1.67"/>
    <m/>
    <m/>
    <s v="Low Growth"/>
  </r>
  <r>
    <n v="2018"/>
    <n v="6"/>
    <x v="0"/>
    <x v="2"/>
    <n v="3766"/>
    <n v="56708"/>
    <n v="213562328"/>
    <n v="1.9E-2"/>
    <n v="17.170000000000002"/>
    <n v="1.67"/>
    <m/>
    <m/>
    <s v="Low Growth"/>
  </r>
  <r>
    <n v="2018"/>
    <n v="6"/>
    <x v="0"/>
    <x v="3"/>
    <n v="4771"/>
    <n v="68944"/>
    <n v="328931824"/>
    <n v="2.5999999999999999E-2"/>
    <n v="17.170000000000002"/>
    <n v="1.67"/>
    <m/>
    <m/>
    <s v="Low Growth"/>
  </r>
  <r>
    <n v="2018"/>
    <n v="6"/>
    <x v="0"/>
    <x v="4"/>
    <n v="2759"/>
    <n v="90223"/>
    <n v="248925257"/>
    <n v="3.2000000000000001E-2"/>
    <n v="17.170000000000002"/>
    <n v="1.67"/>
    <m/>
    <m/>
    <s v="High Growth"/>
  </r>
  <r>
    <n v="2018"/>
    <n v="6"/>
    <x v="0"/>
    <x v="5"/>
    <n v="10943"/>
    <n v="63062"/>
    <n v="690087466"/>
    <n v="1.4999999999999999E-2"/>
    <n v="17.170000000000002"/>
    <n v="1.67"/>
    <m/>
    <m/>
    <s v="Low Growth"/>
  </r>
  <r>
    <n v="2018"/>
    <n v="6"/>
    <x v="0"/>
    <x v="6"/>
    <n v="7067"/>
    <n v="74633"/>
    <n v="527431411"/>
    <n v="2.3E-2"/>
    <n v="17.170000000000002"/>
    <n v="1.67"/>
    <m/>
    <m/>
    <s v="Low Growth"/>
  </r>
  <r>
    <n v="2018"/>
    <n v="6"/>
    <x v="0"/>
    <x v="7"/>
    <n v="10742"/>
    <n v="40510"/>
    <n v="435158420"/>
    <n v="3.2000000000000001E-2"/>
    <n v="17.170000000000002"/>
    <n v="1.67"/>
    <m/>
    <m/>
    <s v="High Growth"/>
  </r>
  <r>
    <n v="2018"/>
    <n v="6"/>
    <x v="1"/>
    <x v="0"/>
    <n v="4950"/>
    <n v="48818"/>
    <n v="241649100"/>
    <n v="3.5999999999999997E-2"/>
    <n v="20.05"/>
    <n v="2.89"/>
    <m/>
    <m/>
    <s v="High Growth"/>
  </r>
  <r>
    <n v="2018"/>
    <n v="6"/>
    <x v="1"/>
    <x v="1"/>
    <n v="4356"/>
    <n v="63094"/>
    <n v="274837464"/>
    <n v="2.1999999999999999E-2"/>
    <n v="20.05"/>
    <n v="2.89"/>
    <m/>
    <m/>
    <s v="Low Growth"/>
  </r>
  <r>
    <n v="2018"/>
    <n v="6"/>
    <x v="1"/>
    <x v="2"/>
    <n v="10604"/>
    <n v="56082"/>
    <n v="594693528"/>
    <n v="2.9000000000000001E-2"/>
    <n v="20.05"/>
    <n v="2.89"/>
    <m/>
    <m/>
    <s v="Low Growth"/>
  </r>
  <r>
    <n v="2018"/>
    <n v="6"/>
    <x v="1"/>
    <x v="3"/>
    <n v="10719"/>
    <n v="69504"/>
    <n v="745013376"/>
    <n v="2.8000000000000001E-2"/>
    <n v="20.05"/>
    <n v="2.89"/>
    <m/>
    <m/>
    <s v="Low Growth"/>
  </r>
  <r>
    <n v="2018"/>
    <n v="6"/>
    <x v="1"/>
    <x v="4"/>
    <n v="9346"/>
    <n v="93843"/>
    <n v="877056678"/>
    <n v="1.2E-2"/>
    <n v="20.05"/>
    <n v="2.89"/>
    <m/>
    <m/>
    <s v="Low Growth"/>
  </r>
  <r>
    <n v="2018"/>
    <n v="6"/>
    <x v="1"/>
    <x v="5"/>
    <n v="8871"/>
    <n v="63448"/>
    <n v="562847208"/>
    <n v="1.0999999999999999E-2"/>
    <n v="20.05"/>
    <n v="2.89"/>
    <m/>
    <m/>
    <s v="Low Growth"/>
  </r>
  <r>
    <n v="2018"/>
    <n v="6"/>
    <x v="1"/>
    <x v="6"/>
    <n v="8223"/>
    <n v="73770"/>
    <n v="606610710"/>
    <n v="-1.4999999999999999E-2"/>
    <n v="20.05"/>
    <n v="2.89"/>
    <m/>
    <m/>
    <s v="Low Growth"/>
  </r>
  <r>
    <n v="2018"/>
    <n v="6"/>
    <x v="1"/>
    <x v="7"/>
    <n v="7549"/>
    <n v="41984"/>
    <n v="316937216"/>
    <n v="1.7000000000000001E-2"/>
    <n v="20.05"/>
    <n v="2.89"/>
    <m/>
    <m/>
    <s v="Low Growth"/>
  </r>
  <r>
    <n v="2018"/>
    <n v="6"/>
    <x v="2"/>
    <x v="0"/>
    <n v="9948"/>
    <n v="46577"/>
    <n v="463347996"/>
    <n v="2.5999999999999999E-2"/>
    <n v="20.14"/>
    <n v="5.0599999999999996"/>
    <m/>
    <m/>
    <s v="Low Growth"/>
  </r>
  <r>
    <n v="2018"/>
    <n v="6"/>
    <x v="2"/>
    <x v="1"/>
    <n v="7733"/>
    <n v="62150"/>
    <n v="480605950"/>
    <n v="3.4000000000000002E-2"/>
    <n v="20.14"/>
    <n v="5.0599999999999996"/>
    <m/>
    <m/>
    <s v="High Growth"/>
  </r>
  <r>
    <n v="2018"/>
    <n v="6"/>
    <x v="2"/>
    <x v="2"/>
    <n v="10319"/>
    <n v="58845"/>
    <n v="607221555"/>
    <n v="3.1E-2"/>
    <n v="20.14"/>
    <n v="5.0599999999999996"/>
    <m/>
    <m/>
    <s v="High Growth"/>
  </r>
  <r>
    <n v="2018"/>
    <n v="6"/>
    <x v="2"/>
    <x v="3"/>
    <n v="10452"/>
    <n v="69482"/>
    <n v="726225864"/>
    <n v="2E-3"/>
    <n v="20.14"/>
    <n v="5.0599999999999996"/>
    <m/>
    <m/>
    <s v="Low Growth"/>
  </r>
  <r>
    <n v="2018"/>
    <n v="6"/>
    <x v="2"/>
    <x v="4"/>
    <n v="4214"/>
    <n v="91358"/>
    <n v="384982612"/>
    <n v="0"/>
    <n v="20.14"/>
    <n v="5.0599999999999996"/>
    <m/>
    <m/>
    <s v="Low Growth"/>
  </r>
  <r>
    <n v="2018"/>
    <n v="6"/>
    <x v="2"/>
    <x v="5"/>
    <n v="8376"/>
    <n v="63541"/>
    <n v="532219416"/>
    <n v="0.04"/>
    <n v="20.14"/>
    <n v="5.0599999999999996"/>
    <m/>
    <m/>
    <s v="High Growth"/>
  </r>
  <r>
    <n v="2018"/>
    <n v="6"/>
    <x v="2"/>
    <x v="6"/>
    <n v="8089"/>
    <n v="73796"/>
    <n v="596935844"/>
    <n v="3.9E-2"/>
    <n v="20.14"/>
    <n v="5.0599999999999996"/>
    <m/>
    <m/>
    <s v="High Growth"/>
  </r>
  <r>
    <n v="2018"/>
    <n v="6"/>
    <x v="2"/>
    <x v="7"/>
    <n v="10497"/>
    <n v="40137"/>
    <n v="421318089"/>
    <n v="2.1999999999999999E-2"/>
    <n v="20.14"/>
    <n v="5.0599999999999996"/>
    <m/>
    <m/>
    <s v="Low Growth"/>
  </r>
  <r>
    <n v="2018"/>
    <n v="6"/>
    <x v="3"/>
    <x v="0"/>
    <n v="7330"/>
    <n v="46204"/>
    <n v="338675320"/>
    <n v="0.02"/>
    <n v="5.52"/>
    <n v="2.99"/>
    <m/>
    <m/>
    <s v="Low Growth"/>
  </r>
  <r>
    <n v="2018"/>
    <n v="6"/>
    <x v="3"/>
    <x v="1"/>
    <n v="9645"/>
    <n v="63818"/>
    <n v="615524610"/>
    <n v="2.4E-2"/>
    <n v="5.52"/>
    <n v="2.99"/>
    <m/>
    <m/>
    <s v="Low Growth"/>
  </r>
  <r>
    <n v="2018"/>
    <n v="6"/>
    <x v="3"/>
    <x v="2"/>
    <n v="4846"/>
    <n v="58895"/>
    <n v="285405170"/>
    <n v="-2E-3"/>
    <n v="5.52"/>
    <n v="2.99"/>
    <m/>
    <m/>
    <s v="Low Growth"/>
  </r>
  <r>
    <n v="2018"/>
    <n v="6"/>
    <x v="3"/>
    <x v="3"/>
    <n v="9611"/>
    <n v="68994"/>
    <n v="663101334"/>
    <n v="0.04"/>
    <n v="5.52"/>
    <n v="2.99"/>
    <m/>
    <m/>
    <s v="High Growth"/>
  </r>
  <r>
    <n v="2018"/>
    <n v="6"/>
    <x v="3"/>
    <x v="4"/>
    <n v="9384"/>
    <n v="91719"/>
    <n v="860691096"/>
    <n v="8.9999999999999993E-3"/>
    <n v="5.52"/>
    <n v="2.99"/>
    <m/>
    <m/>
    <s v="Low Growth"/>
  </r>
  <r>
    <n v="2018"/>
    <n v="6"/>
    <x v="3"/>
    <x v="5"/>
    <n v="12069"/>
    <n v="66266"/>
    <n v="799764354"/>
    <n v="2.5000000000000001E-2"/>
    <n v="5.52"/>
    <n v="2.99"/>
    <m/>
    <m/>
    <s v="Low Growth"/>
  </r>
  <r>
    <n v="2018"/>
    <n v="6"/>
    <x v="3"/>
    <x v="6"/>
    <n v="4825"/>
    <n v="74969"/>
    <n v="361725425"/>
    <n v="4.1000000000000002E-2"/>
    <n v="5.52"/>
    <n v="2.99"/>
    <m/>
    <m/>
    <s v="High Growth"/>
  </r>
  <r>
    <n v="2018"/>
    <n v="6"/>
    <x v="3"/>
    <x v="7"/>
    <n v="10204"/>
    <n v="43122"/>
    <n v="440016888"/>
    <n v="1.7000000000000001E-2"/>
    <n v="5.52"/>
    <n v="2.99"/>
    <m/>
    <m/>
    <s v="Low Growth"/>
  </r>
  <r>
    <n v="2018"/>
    <n v="7"/>
    <x v="0"/>
    <x v="0"/>
    <n v="8432"/>
    <n v="47968"/>
    <n v="404466176"/>
    <n v="2.8000000000000001E-2"/>
    <n v="14.62"/>
    <n v="2.1800000000000002"/>
    <m/>
    <m/>
    <s v="Low Growth"/>
  </r>
  <r>
    <n v="2018"/>
    <n v="7"/>
    <x v="0"/>
    <x v="1"/>
    <n v="9253"/>
    <n v="62841"/>
    <n v="581467773"/>
    <n v="1.7000000000000001E-2"/>
    <n v="14.62"/>
    <n v="2.1800000000000002"/>
    <m/>
    <m/>
    <s v="Low Growth"/>
  </r>
  <r>
    <n v="2018"/>
    <n v="7"/>
    <x v="0"/>
    <x v="2"/>
    <n v="8255"/>
    <n v="58397"/>
    <n v="482067235"/>
    <n v="1.2999999999999999E-2"/>
    <n v="14.62"/>
    <n v="2.1800000000000002"/>
    <m/>
    <m/>
    <s v="Low Growth"/>
  </r>
  <r>
    <n v="2018"/>
    <n v="7"/>
    <x v="0"/>
    <x v="3"/>
    <n v="5109"/>
    <n v="67047"/>
    <n v="342543123"/>
    <n v="2.1999999999999999E-2"/>
    <n v="14.62"/>
    <n v="2.1800000000000002"/>
    <m/>
    <m/>
    <s v="Low Growth"/>
  </r>
  <r>
    <n v="2018"/>
    <n v="7"/>
    <x v="0"/>
    <x v="4"/>
    <n v="5836"/>
    <n v="91715"/>
    <n v="535248740"/>
    <n v="2.1999999999999999E-2"/>
    <n v="14.62"/>
    <n v="2.1800000000000002"/>
    <m/>
    <m/>
    <s v="Low Growth"/>
  </r>
  <r>
    <n v="2018"/>
    <n v="7"/>
    <x v="0"/>
    <x v="5"/>
    <n v="2661"/>
    <n v="63638"/>
    <n v="169340718"/>
    <n v="1.2E-2"/>
    <n v="14.62"/>
    <n v="2.1800000000000002"/>
    <m/>
    <m/>
    <s v="Low Growth"/>
  </r>
  <r>
    <n v="2018"/>
    <n v="7"/>
    <x v="0"/>
    <x v="6"/>
    <n v="2427"/>
    <n v="75125"/>
    <n v="182328375"/>
    <n v="4.3999999999999997E-2"/>
    <n v="14.62"/>
    <n v="2.1800000000000002"/>
    <m/>
    <m/>
    <s v="High Growth"/>
  </r>
  <r>
    <n v="2018"/>
    <n v="7"/>
    <x v="0"/>
    <x v="7"/>
    <n v="2720"/>
    <n v="42713"/>
    <n v="116179360"/>
    <n v="1.7000000000000001E-2"/>
    <n v="14.62"/>
    <n v="2.1800000000000002"/>
    <m/>
    <m/>
    <s v="Low Growth"/>
  </r>
  <r>
    <n v="2018"/>
    <n v="7"/>
    <x v="1"/>
    <x v="0"/>
    <n v="7951"/>
    <n v="47215"/>
    <n v="375406465"/>
    <n v="8.0000000000000002E-3"/>
    <n v="17.579999999999998"/>
    <n v="3.58"/>
    <m/>
    <m/>
    <s v="Low Growth"/>
  </r>
  <r>
    <n v="2018"/>
    <n v="7"/>
    <x v="1"/>
    <x v="1"/>
    <n v="10119"/>
    <n v="61654"/>
    <n v="623876826"/>
    <n v="3.0000000000000001E-3"/>
    <n v="17.579999999999998"/>
    <n v="3.58"/>
    <m/>
    <m/>
    <s v="Low Growth"/>
  </r>
  <r>
    <n v="2018"/>
    <n v="7"/>
    <x v="1"/>
    <x v="2"/>
    <n v="10834"/>
    <n v="58133"/>
    <n v="629812922"/>
    <n v="3.2000000000000001E-2"/>
    <n v="17.579999999999998"/>
    <n v="3.58"/>
    <m/>
    <m/>
    <s v="High Growth"/>
  </r>
  <r>
    <n v="2018"/>
    <n v="7"/>
    <x v="1"/>
    <x v="3"/>
    <n v="9633"/>
    <n v="67125"/>
    <n v="646615125"/>
    <n v="2.1999999999999999E-2"/>
    <n v="17.579999999999998"/>
    <n v="3.58"/>
    <m/>
    <m/>
    <s v="Low Growth"/>
  </r>
  <r>
    <n v="2018"/>
    <n v="7"/>
    <x v="1"/>
    <x v="4"/>
    <n v="6775"/>
    <n v="91603"/>
    <n v="620610325"/>
    <n v="2.1999999999999999E-2"/>
    <n v="17.579999999999998"/>
    <n v="3.58"/>
    <m/>
    <m/>
    <s v="Low Growth"/>
  </r>
  <r>
    <n v="2018"/>
    <n v="7"/>
    <x v="1"/>
    <x v="5"/>
    <n v="9557"/>
    <n v="63066"/>
    <n v="602721762"/>
    <n v="2.9000000000000001E-2"/>
    <n v="17.579999999999998"/>
    <n v="3.58"/>
    <m/>
    <m/>
    <s v="Low Growth"/>
  </r>
  <r>
    <n v="2018"/>
    <n v="7"/>
    <x v="1"/>
    <x v="6"/>
    <n v="2595"/>
    <n v="73110"/>
    <n v="189720450"/>
    <n v="1.0999999999999999E-2"/>
    <n v="17.579999999999998"/>
    <n v="3.58"/>
    <m/>
    <m/>
    <s v="Low Growth"/>
  </r>
  <r>
    <n v="2018"/>
    <n v="7"/>
    <x v="1"/>
    <x v="7"/>
    <n v="9920"/>
    <n v="43440"/>
    <n v="430924800"/>
    <n v="0.02"/>
    <n v="17.579999999999998"/>
    <n v="3.58"/>
    <m/>
    <m/>
    <s v="Low Growth"/>
  </r>
  <r>
    <n v="2018"/>
    <n v="7"/>
    <x v="2"/>
    <x v="0"/>
    <n v="4977"/>
    <n v="47975"/>
    <n v="238771575"/>
    <n v="2.9000000000000001E-2"/>
    <n v="16.36"/>
    <n v="0.99"/>
    <m/>
    <m/>
    <s v="Low Growth"/>
  </r>
  <r>
    <n v="2018"/>
    <n v="7"/>
    <x v="2"/>
    <x v="1"/>
    <n v="3207"/>
    <n v="61989"/>
    <n v="198798723"/>
    <n v="3.9E-2"/>
    <n v="16.36"/>
    <n v="0.99"/>
    <m/>
    <m/>
    <s v="High Growth"/>
  </r>
  <r>
    <n v="2018"/>
    <n v="7"/>
    <x v="2"/>
    <x v="2"/>
    <n v="5996"/>
    <n v="58671"/>
    <n v="351791316"/>
    <n v="1.4E-2"/>
    <n v="16.36"/>
    <n v="0.99"/>
    <m/>
    <m/>
    <s v="Low Growth"/>
  </r>
  <r>
    <n v="2018"/>
    <n v="7"/>
    <x v="2"/>
    <x v="3"/>
    <n v="9011"/>
    <n v="70517"/>
    <n v="635428687"/>
    <n v="7.0000000000000001E-3"/>
    <n v="16.36"/>
    <n v="0.99"/>
    <m/>
    <m/>
    <s v="Low Growth"/>
  </r>
  <r>
    <n v="2018"/>
    <n v="7"/>
    <x v="2"/>
    <x v="4"/>
    <n v="5923"/>
    <n v="92595"/>
    <n v="548440185"/>
    <n v="-5.0000000000000001E-3"/>
    <n v="16.36"/>
    <n v="0.99"/>
    <m/>
    <m/>
    <s v="Low Growth"/>
  </r>
  <r>
    <n v="2018"/>
    <n v="7"/>
    <x v="2"/>
    <x v="5"/>
    <n v="11030"/>
    <n v="64246"/>
    <n v="708633380"/>
    <n v="2.7E-2"/>
    <n v="16.36"/>
    <n v="0.99"/>
    <m/>
    <m/>
    <s v="Low Growth"/>
  </r>
  <r>
    <n v="2018"/>
    <n v="7"/>
    <x v="2"/>
    <x v="6"/>
    <n v="2379"/>
    <n v="73003"/>
    <n v="173674137"/>
    <n v="2.4E-2"/>
    <n v="16.36"/>
    <n v="0.99"/>
    <m/>
    <m/>
    <s v="Low Growth"/>
  </r>
  <r>
    <n v="2018"/>
    <n v="7"/>
    <x v="2"/>
    <x v="7"/>
    <n v="8042"/>
    <n v="40645"/>
    <n v="326867090"/>
    <n v="1.9E-2"/>
    <n v="16.36"/>
    <n v="0.99"/>
    <m/>
    <m/>
    <s v="Low Growth"/>
  </r>
  <r>
    <n v="2018"/>
    <n v="7"/>
    <x v="3"/>
    <x v="0"/>
    <n v="7657"/>
    <n v="49097"/>
    <n v="375935729"/>
    <n v="2.3E-2"/>
    <n v="6.45"/>
    <n v="2.99"/>
    <m/>
    <m/>
    <s v="Low Growth"/>
  </r>
  <r>
    <n v="2018"/>
    <n v="7"/>
    <x v="3"/>
    <x v="1"/>
    <n v="8375"/>
    <n v="63371"/>
    <n v="530732125"/>
    <n v="3.7999999999999999E-2"/>
    <n v="6.45"/>
    <n v="2.99"/>
    <m/>
    <m/>
    <s v="High Growth"/>
  </r>
  <r>
    <n v="2018"/>
    <n v="7"/>
    <x v="3"/>
    <x v="2"/>
    <n v="8520"/>
    <n v="58187"/>
    <n v="495753240"/>
    <n v="2.5999999999999999E-2"/>
    <n v="6.45"/>
    <n v="2.99"/>
    <m/>
    <m/>
    <s v="Low Growth"/>
  </r>
  <r>
    <n v="2018"/>
    <n v="7"/>
    <x v="3"/>
    <x v="3"/>
    <n v="4320"/>
    <n v="69137"/>
    <n v="298671840"/>
    <n v="1.2E-2"/>
    <n v="6.45"/>
    <n v="2.99"/>
    <m/>
    <m/>
    <s v="Low Growth"/>
  </r>
  <r>
    <n v="2018"/>
    <n v="7"/>
    <x v="3"/>
    <x v="4"/>
    <n v="4111"/>
    <n v="92892"/>
    <n v="381879012"/>
    <n v="2.8000000000000001E-2"/>
    <n v="6.45"/>
    <n v="2.99"/>
    <m/>
    <m/>
    <s v="Low Growth"/>
  </r>
  <r>
    <n v="2018"/>
    <n v="7"/>
    <x v="3"/>
    <x v="5"/>
    <n v="4299"/>
    <n v="65306"/>
    <n v="280750494"/>
    <n v="0.02"/>
    <n v="6.45"/>
    <n v="2.99"/>
    <m/>
    <m/>
    <s v="Low Growth"/>
  </r>
  <r>
    <n v="2018"/>
    <n v="7"/>
    <x v="3"/>
    <x v="6"/>
    <n v="5931"/>
    <n v="73260"/>
    <n v="434505060"/>
    <n v="1.2999999999999999E-2"/>
    <n v="6.45"/>
    <n v="2.99"/>
    <m/>
    <m/>
    <s v="Low Growth"/>
  </r>
  <r>
    <n v="2018"/>
    <n v="7"/>
    <x v="3"/>
    <x v="7"/>
    <n v="8111"/>
    <n v="41673"/>
    <n v="338009703"/>
    <n v="-1E-3"/>
    <n v="6.45"/>
    <n v="2.99"/>
    <m/>
    <m/>
    <s v="Low Growth"/>
  </r>
  <r>
    <n v="2018"/>
    <n v="8"/>
    <x v="0"/>
    <x v="0"/>
    <n v="5065"/>
    <n v="49621"/>
    <n v="251330365"/>
    <n v="1.9E-2"/>
    <n v="18.77"/>
    <n v="2.4"/>
    <m/>
    <m/>
    <s v="Low Growth"/>
  </r>
  <r>
    <n v="2018"/>
    <n v="8"/>
    <x v="0"/>
    <x v="1"/>
    <n v="5690"/>
    <n v="63677"/>
    <n v="362322130"/>
    <n v="0.01"/>
    <n v="18.77"/>
    <n v="2.4"/>
    <m/>
    <m/>
    <s v="Low Growth"/>
  </r>
  <r>
    <n v="2018"/>
    <n v="8"/>
    <x v="0"/>
    <x v="2"/>
    <n v="11219"/>
    <n v="58635"/>
    <n v="657826065"/>
    <n v="2.1999999999999999E-2"/>
    <n v="18.77"/>
    <n v="2.4"/>
    <m/>
    <m/>
    <s v="Low Growth"/>
  </r>
  <r>
    <n v="2018"/>
    <n v="8"/>
    <x v="0"/>
    <x v="3"/>
    <n v="10128"/>
    <n v="68570"/>
    <n v="694476960"/>
    <n v="2.1000000000000001E-2"/>
    <n v="18.77"/>
    <n v="2.4"/>
    <m/>
    <m/>
    <s v="Low Growth"/>
  </r>
  <r>
    <n v="2018"/>
    <n v="8"/>
    <x v="0"/>
    <x v="4"/>
    <n v="4807"/>
    <n v="91855"/>
    <n v="441546985"/>
    <n v="2.5000000000000001E-2"/>
    <n v="18.77"/>
    <n v="2.4"/>
    <m/>
    <m/>
    <s v="Low Growth"/>
  </r>
  <r>
    <n v="2018"/>
    <n v="8"/>
    <x v="0"/>
    <x v="5"/>
    <n v="7569"/>
    <n v="66911"/>
    <n v="506449359"/>
    <n v="3.5999999999999997E-2"/>
    <n v="18.77"/>
    <n v="2.4"/>
    <m/>
    <m/>
    <s v="High Growth"/>
  </r>
  <r>
    <n v="2018"/>
    <n v="8"/>
    <x v="0"/>
    <x v="6"/>
    <n v="10985"/>
    <n v="74314"/>
    <n v="816339290"/>
    <n v="2.8000000000000001E-2"/>
    <n v="18.77"/>
    <n v="2.4"/>
    <m/>
    <m/>
    <s v="Low Growth"/>
  </r>
  <r>
    <n v="2018"/>
    <n v="8"/>
    <x v="0"/>
    <x v="7"/>
    <n v="6954"/>
    <n v="43236"/>
    <n v="300663144"/>
    <n v="2.5999999999999999E-2"/>
    <n v="18.77"/>
    <n v="2.4"/>
    <m/>
    <m/>
    <s v="Low Growth"/>
  </r>
  <r>
    <n v="2018"/>
    <n v="8"/>
    <x v="1"/>
    <x v="0"/>
    <n v="6390"/>
    <n v="48449"/>
    <n v="309589110"/>
    <n v="2.8000000000000001E-2"/>
    <n v="17.66"/>
    <n v="3.54"/>
    <m/>
    <m/>
    <s v="Low Growth"/>
  </r>
  <r>
    <n v="2018"/>
    <n v="8"/>
    <x v="1"/>
    <x v="1"/>
    <n v="8970"/>
    <n v="63762"/>
    <n v="571945140"/>
    <n v="3.0000000000000001E-3"/>
    <n v="17.66"/>
    <n v="3.54"/>
    <m/>
    <m/>
    <s v="Low Growth"/>
  </r>
  <r>
    <n v="2018"/>
    <n v="8"/>
    <x v="1"/>
    <x v="2"/>
    <n v="9788"/>
    <n v="58190"/>
    <n v="569563720"/>
    <n v="3.1E-2"/>
    <n v="17.66"/>
    <n v="3.54"/>
    <m/>
    <m/>
    <s v="High Growth"/>
  </r>
  <r>
    <n v="2018"/>
    <n v="8"/>
    <x v="1"/>
    <x v="3"/>
    <n v="11099"/>
    <n v="69712"/>
    <n v="773733488"/>
    <n v="1.2E-2"/>
    <n v="17.66"/>
    <n v="3.54"/>
    <m/>
    <m/>
    <s v="Low Growth"/>
  </r>
  <r>
    <n v="2018"/>
    <n v="8"/>
    <x v="1"/>
    <x v="4"/>
    <n v="4457"/>
    <n v="91997"/>
    <n v="410030629"/>
    <n v="1.7999999999999999E-2"/>
    <n v="17.66"/>
    <n v="3.54"/>
    <m/>
    <m/>
    <s v="Low Growth"/>
  </r>
  <r>
    <n v="2018"/>
    <n v="8"/>
    <x v="1"/>
    <x v="5"/>
    <n v="5877"/>
    <n v="65151"/>
    <n v="382892427"/>
    <n v="2.8000000000000001E-2"/>
    <n v="17.66"/>
    <n v="3.54"/>
    <m/>
    <m/>
    <s v="Low Growth"/>
  </r>
  <r>
    <n v="2018"/>
    <n v="8"/>
    <x v="1"/>
    <x v="6"/>
    <n v="6192"/>
    <n v="75626"/>
    <n v="468276192"/>
    <n v="-3.0000000000000001E-3"/>
    <n v="17.66"/>
    <n v="3.54"/>
    <m/>
    <m/>
    <s v="Low Growth"/>
  </r>
  <r>
    <n v="2018"/>
    <n v="8"/>
    <x v="1"/>
    <x v="7"/>
    <n v="3516"/>
    <n v="42601"/>
    <n v="149785116"/>
    <n v="3.4000000000000002E-2"/>
    <n v="17.66"/>
    <n v="3.54"/>
    <m/>
    <m/>
    <s v="High Growth"/>
  </r>
  <r>
    <n v="2018"/>
    <n v="8"/>
    <x v="2"/>
    <x v="0"/>
    <n v="10610"/>
    <n v="48597"/>
    <n v="515614170"/>
    <n v="2.1999999999999999E-2"/>
    <n v="18.34"/>
    <n v="3.34"/>
    <m/>
    <m/>
    <s v="Low Growth"/>
  </r>
  <r>
    <n v="2018"/>
    <n v="8"/>
    <x v="2"/>
    <x v="1"/>
    <n v="3439"/>
    <n v="63068"/>
    <n v="216890852"/>
    <n v="2.1999999999999999E-2"/>
    <n v="18.34"/>
    <n v="3.34"/>
    <m/>
    <m/>
    <s v="Low Growth"/>
  </r>
  <r>
    <n v="2018"/>
    <n v="8"/>
    <x v="2"/>
    <x v="2"/>
    <n v="3277"/>
    <n v="57857"/>
    <n v="189597389"/>
    <n v="1.6E-2"/>
    <n v="18.34"/>
    <n v="3.34"/>
    <m/>
    <m/>
    <s v="Low Growth"/>
  </r>
  <r>
    <n v="2018"/>
    <n v="8"/>
    <x v="2"/>
    <x v="3"/>
    <n v="6756"/>
    <n v="68658"/>
    <n v="463853448"/>
    <n v="1.6E-2"/>
    <n v="18.34"/>
    <n v="3.34"/>
    <m/>
    <m/>
    <s v="Low Growth"/>
  </r>
  <r>
    <n v="2018"/>
    <n v="8"/>
    <x v="2"/>
    <x v="4"/>
    <n v="4146"/>
    <n v="93230"/>
    <n v="386531580"/>
    <n v="0.03"/>
    <n v="18.34"/>
    <n v="3.34"/>
    <m/>
    <m/>
    <s v="Low Growth"/>
  </r>
  <r>
    <n v="2018"/>
    <n v="8"/>
    <x v="2"/>
    <x v="5"/>
    <n v="8427"/>
    <n v="64900"/>
    <n v="546912300"/>
    <n v="1.4999999999999999E-2"/>
    <n v="18.34"/>
    <n v="3.34"/>
    <m/>
    <m/>
    <s v="Low Growth"/>
  </r>
  <r>
    <n v="2018"/>
    <n v="8"/>
    <x v="2"/>
    <x v="6"/>
    <n v="8416"/>
    <n v="76719"/>
    <n v="645667104"/>
    <n v="2.1000000000000001E-2"/>
    <n v="18.34"/>
    <n v="3.34"/>
    <m/>
    <m/>
    <s v="Low Growth"/>
  </r>
  <r>
    <n v="2018"/>
    <n v="8"/>
    <x v="2"/>
    <x v="7"/>
    <n v="4627"/>
    <n v="42891"/>
    <n v="198456657"/>
    <n v="4.4999999999999998E-2"/>
    <n v="18.34"/>
    <n v="3.34"/>
    <m/>
    <m/>
    <s v="High Growth"/>
  </r>
  <r>
    <n v="2018"/>
    <n v="8"/>
    <x v="3"/>
    <x v="0"/>
    <n v="4385"/>
    <n v="48070"/>
    <n v="210786950"/>
    <n v="8.0000000000000002E-3"/>
    <n v="6.43"/>
    <n v="4.33"/>
    <m/>
    <m/>
    <s v="Low Growth"/>
  </r>
  <r>
    <n v="2018"/>
    <n v="8"/>
    <x v="3"/>
    <x v="1"/>
    <n v="3148"/>
    <n v="60345"/>
    <n v="189966060"/>
    <n v="1.2999999999999999E-2"/>
    <n v="6.43"/>
    <n v="4.33"/>
    <m/>
    <m/>
    <s v="Low Growth"/>
  </r>
  <r>
    <n v="2018"/>
    <n v="8"/>
    <x v="3"/>
    <x v="2"/>
    <n v="10501"/>
    <n v="59005"/>
    <n v="619611505"/>
    <n v="2.3E-2"/>
    <n v="6.43"/>
    <n v="4.33"/>
    <m/>
    <m/>
    <s v="Low Growth"/>
  </r>
  <r>
    <n v="2018"/>
    <n v="8"/>
    <x v="3"/>
    <x v="3"/>
    <n v="3309"/>
    <n v="70040"/>
    <n v="231762360"/>
    <n v="8.9999999999999993E-3"/>
    <n v="6.43"/>
    <n v="4.33"/>
    <m/>
    <m/>
    <s v="Low Growth"/>
  </r>
  <r>
    <n v="2018"/>
    <n v="8"/>
    <x v="3"/>
    <x v="4"/>
    <n v="9775"/>
    <n v="93051"/>
    <n v="909573525"/>
    <n v="2.5999999999999999E-2"/>
    <n v="6.43"/>
    <n v="4.33"/>
    <m/>
    <m/>
    <s v="Low Growth"/>
  </r>
  <r>
    <n v="2018"/>
    <n v="8"/>
    <x v="3"/>
    <x v="5"/>
    <n v="6603"/>
    <n v="66055"/>
    <n v="436161165"/>
    <n v="3.5999999999999997E-2"/>
    <n v="6.43"/>
    <n v="4.33"/>
    <m/>
    <m/>
    <s v="High Growth"/>
  </r>
  <r>
    <n v="2018"/>
    <n v="8"/>
    <x v="3"/>
    <x v="6"/>
    <n v="6057"/>
    <n v="73603"/>
    <n v="445813371"/>
    <n v="1.2E-2"/>
    <n v="6.43"/>
    <n v="4.33"/>
    <m/>
    <m/>
    <s v="Low Growth"/>
  </r>
  <r>
    <n v="2018"/>
    <n v="8"/>
    <x v="3"/>
    <x v="7"/>
    <n v="8097"/>
    <n v="41013"/>
    <n v="332082261"/>
    <n v="2.5000000000000001E-2"/>
    <n v="6.43"/>
    <n v="4.33"/>
    <m/>
    <m/>
    <s v="Low Growth"/>
  </r>
  <r>
    <n v="2018"/>
    <n v="9"/>
    <x v="0"/>
    <x v="0"/>
    <n v="13086"/>
    <n v="46566"/>
    <n v="609362676"/>
    <n v="1.4999999999999999E-2"/>
    <n v="15.16"/>
    <n v="2.67"/>
    <m/>
    <m/>
    <s v="Low Growth"/>
  </r>
  <r>
    <n v="2018"/>
    <n v="9"/>
    <x v="0"/>
    <x v="1"/>
    <n v="9915"/>
    <n v="60935"/>
    <n v="604170525"/>
    <n v="0.03"/>
    <n v="15.16"/>
    <n v="2.67"/>
    <m/>
    <m/>
    <s v="Low Growth"/>
  </r>
  <r>
    <n v="2018"/>
    <n v="9"/>
    <x v="0"/>
    <x v="2"/>
    <n v="5728"/>
    <n v="56201"/>
    <n v="321919328"/>
    <n v="3.4000000000000002E-2"/>
    <n v="15.16"/>
    <n v="2.67"/>
    <m/>
    <m/>
    <s v="High Growth"/>
  </r>
  <r>
    <n v="2018"/>
    <n v="9"/>
    <x v="0"/>
    <x v="3"/>
    <n v="6607"/>
    <n v="69360"/>
    <n v="458261520"/>
    <n v="1.2999999999999999E-2"/>
    <n v="15.16"/>
    <n v="2.67"/>
    <m/>
    <m/>
    <s v="Low Growth"/>
  </r>
  <r>
    <n v="2018"/>
    <n v="9"/>
    <x v="0"/>
    <x v="4"/>
    <n v="7383"/>
    <n v="92291"/>
    <n v="681384453"/>
    <n v="1.0999999999999999E-2"/>
    <n v="15.16"/>
    <n v="2.67"/>
    <m/>
    <m/>
    <s v="Low Growth"/>
  </r>
  <r>
    <n v="2018"/>
    <n v="9"/>
    <x v="0"/>
    <x v="5"/>
    <n v="3339"/>
    <n v="64625"/>
    <n v="215782875"/>
    <n v="2.1999999999999999E-2"/>
    <n v="15.16"/>
    <n v="2.67"/>
    <m/>
    <m/>
    <s v="Low Growth"/>
  </r>
  <r>
    <n v="2018"/>
    <n v="9"/>
    <x v="0"/>
    <x v="6"/>
    <n v="11520"/>
    <n v="73417"/>
    <n v="845763840"/>
    <n v="7.0000000000000001E-3"/>
    <n v="15.16"/>
    <n v="2.67"/>
    <m/>
    <m/>
    <s v="Low Growth"/>
  </r>
  <r>
    <n v="2018"/>
    <n v="9"/>
    <x v="0"/>
    <x v="7"/>
    <n v="9889"/>
    <n v="43600"/>
    <n v="431160400"/>
    <n v="7.0000000000000001E-3"/>
    <n v="15.16"/>
    <n v="2.67"/>
    <m/>
    <m/>
    <s v="Low Growth"/>
  </r>
  <r>
    <n v="2018"/>
    <n v="9"/>
    <x v="1"/>
    <x v="0"/>
    <n v="4075"/>
    <n v="46709"/>
    <n v="190339175"/>
    <n v="0.02"/>
    <n v="20.39"/>
    <n v="2.56"/>
    <m/>
    <m/>
    <s v="Low Growth"/>
  </r>
  <r>
    <n v="2018"/>
    <n v="9"/>
    <x v="1"/>
    <x v="1"/>
    <n v="6679"/>
    <n v="61879"/>
    <n v="413289841"/>
    <n v="7.0000000000000001E-3"/>
    <n v="20.39"/>
    <n v="2.56"/>
    <m/>
    <m/>
    <s v="Low Growth"/>
  </r>
  <r>
    <n v="2018"/>
    <n v="9"/>
    <x v="1"/>
    <x v="2"/>
    <n v="9702"/>
    <n v="58713"/>
    <n v="569633526"/>
    <n v="1.2999999999999999E-2"/>
    <n v="20.39"/>
    <n v="2.56"/>
    <m/>
    <m/>
    <s v="Low Growth"/>
  </r>
  <r>
    <n v="2018"/>
    <n v="9"/>
    <x v="1"/>
    <x v="3"/>
    <n v="8896"/>
    <n v="70120"/>
    <n v="623787520"/>
    <n v="2.9000000000000001E-2"/>
    <n v="20.39"/>
    <n v="2.56"/>
    <m/>
    <m/>
    <s v="Low Growth"/>
  </r>
  <r>
    <n v="2018"/>
    <n v="9"/>
    <x v="1"/>
    <x v="4"/>
    <n v="3812"/>
    <n v="90147"/>
    <n v="343640364"/>
    <n v="0.02"/>
    <n v="20.39"/>
    <n v="2.56"/>
    <m/>
    <m/>
    <s v="Low Growth"/>
  </r>
  <r>
    <n v="2018"/>
    <n v="9"/>
    <x v="1"/>
    <x v="5"/>
    <n v="6821"/>
    <n v="63341"/>
    <n v="432048961"/>
    <n v="2.4E-2"/>
    <n v="20.39"/>
    <n v="2.56"/>
    <m/>
    <m/>
    <s v="Low Growth"/>
  </r>
  <r>
    <n v="2018"/>
    <n v="9"/>
    <x v="1"/>
    <x v="6"/>
    <n v="8450"/>
    <n v="74792"/>
    <n v="631992400"/>
    <n v="0.02"/>
    <n v="20.39"/>
    <n v="2.56"/>
    <m/>
    <m/>
    <s v="Low Growth"/>
  </r>
  <r>
    <n v="2018"/>
    <n v="9"/>
    <x v="1"/>
    <x v="7"/>
    <n v="4684"/>
    <n v="43212"/>
    <n v="202405008"/>
    <n v="2.1999999999999999E-2"/>
    <n v="20.39"/>
    <n v="2.56"/>
    <m/>
    <m/>
    <s v="Low Growth"/>
  </r>
  <r>
    <n v="2018"/>
    <n v="9"/>
    <x v="2"/>
    <x v="0"/>
    <n v="5036"/>
    <n v="47500"/>
    <n v="239210000"/>
    <n v="4.2999999999999997E-2"/>
    <n v="19.600000000000001"/>
    <n v="1.64"/>
    <m/>
    <m/>
    <s v="High Growth"/>
  </r>
  <r>
    <n v="2018"/>
    <n v="9"/>
    <x v="2"/>
    <x v="1"/>
    <n v="12074"/>
    <n v="63215"/>
    <n v="763257910"/>
    <n v="1.4E-2"/>
    <n v="19.600000000000001"/>
    <n v="1.64"/>
    <m/>
    <m/>
    <s v="Low Growth"/>
  </r>
  <r>
    <n v="2018"/>
    <n v="9"/>
    <x v="2"/>
    <x v="2"/>
    <n v="10654"/>
    <n v="56987"/>
    <n v="607139498"/>
    <n v="3.4000000000000002E-2"/>
    <n v="19.600000000000001"/>
    <n v="1.64"/>
    <m/>
    <m/>
    <s v="High Growth"/>
  </r>
  <r>
    <n v="2018"/>
    <n v="9"/>
    <x v="2"/>
    <x v="3"/>
    <n v="8505"/>
    <n v="69161"/>
    <n v="588214305"/>
    <n v="-7.0000000000000001E-3"/>
    <n v="19.600000000000001"/>
    <n v="1.64"/>
    <m/>
    <m/>
    <s v="Low Growth"/>
  </r>
  <r>
    <n v="2018"/>
    <n v="9"/>
    <x v="2"/>
    <x v="4"/>
    <n v="9126"/>
    <n v="93335"/>
    <n v="851775210"/>
    <n v="1.6E-2"/>
    <n v="19.600000000000001"/>
    <n v="1.64"/>
    <m/>
    <m/>
    <s v="Low Growth"/>
  </r>
  <r>
    <n v="2018"/>
    <n v="9"/>
    <x v="2"/>
    <x v="5"/>
    <n v="11591"/>
    <n v="66714"/>
    <n v="773281974"/>
    <n v="2.1999999999999999E-2"/>
    <n v="19.600000000000001"/>
    <n v="1.64"/>
    <m/>
    <m/>
    <s v="Low Growth"/>
  </r>
  <r>
    <n v="2018"/>
    <n v="9"/>
    <x v="2"/>
    <x v="6"/>
    <n v="8110"/>
    <n v="76451"/>
    <n v="620017610"/>
    <n v="2.8000000000000001E-2"/>
    <n v="19.600000000000001"/>
    <n v="1.64"/>
    <m/>
    <m/>
    <s v="Low Growth"/>
  </r>
  <r>
    <n v="2018"/>
    <n v="9"/>
    <x v="2"/>
    <x v="7"/>
    <n v="2809"/>
    <n v="43547"/>
    <n v="122323523"/>
    <n v="7.0000000000000001E-3"/>
    <n v="19.600000000000001"/>
    <n v="1.64"/>
    <m/>
    <m/>
    <s v="Low Growth"/>
  </r>
  <r>
    <n v="2018"/>
    <n v="9"/>
    <x v="3"/>
    <x v="0"/>
    <n v="12120"/>
    <n v="48626"/>
    <n v="589347120"/>
    <n v="2.1000000000000001E-2"/>
    <n v="5.51"/>
    <n v="4.22"/>
    <m/>
    <m/>
    <s v="Low Growth"/>
  </r>
  <r>
    <n v="2018"/>
    <n v="9"/>
    <x v="3"/>
    <x v="1"/>
    <n v="10689"/>
    <n v="63680"/>
    <n v="680675520"/>
    <n v="1.9E-2"/>
    <n v="5.51"/>
    <n v="4.22"/>
    <m/>
    <m/>
    <s v="Low Growth"/>
  </r>
  <r>
    <n v="2018"/>
    <n v="9"/>
    <x v="3"/>
    <x v="2"/>
    <n v="6792"/>
    <n v="58143"/>
    <n v="394907256"/>
    <n v="1.6E-2"/>
    <n v="5.51"/>
    <n v="4.22"/>
    <m/>
    <m/>
    <s v="Low Growth"/>
  </r>
  <r>
    <n v="2018"/>
    <n v="9"/>
    <x v="3"/>
    <x v="3"/>
    <n v="8477"/>
    <n v="70149"/>
    <n v="594653073"/>
    <n v="1.7999999999999999E-2"/>
    <n v="5.51"/>
    <n v="4.22"/>
    <m/>
    <m/>
    <s v="Low Growth"/>
  </r>
  <r>
    <n v="2018"/>
    <n v="9"/>
    <x v="3"/>
    <x v="4"/>
    <n v="5541"/>
    <n v="90822"/>
    <n v="503244702"/>
    <n v="1.7000000000000001E-2"/>
    <n v="5.51"/>
    <n v="4.22"/>
    <m/>
    <m/>
    <s v="Low Growth"/>
  </r>
  <r>
    <n v="2018"/>
    <n v="9"/>
    <x v="3"/>
    <x v="5"/>
    <n v="3787"/>
    <n v="65001"/>
    <n v="246158787"/>
    <n v="8.9999999999999993E-3"/>
    <n v="5.51"/>
    <n v="4.22"/>
    <m/>
    <m/>
    <s v="Low Growth"/>
  </r>
  <r>
    <n v="2018"/>
    <n v="9"/>
    <x v="3"/>
    <x v="6"/>
    <n v="9515"/>
    <n v="76156"/>
    <n v="724624340"/>
    <n v="3.4000000000000002E-2"/>
    <n v="5.51"/>
    <n v="4.22"/>
    <m/>
    <m/>
    <s v="High Growth"/>
  </r>
  <r>
    <n v="2018"/>
    <n v="9"/>
    <x v="3"/>
    <x v="7"/>
    <n v="7416"/>
    <n v="43695"/>
    <n v="324042120"/>
    <n v="2.8000000000000001E-2"/>
    <n v="5.51"/>
    <n v="4.22"/>
    <m/>
    <m/>
    <s v="Low Growth"/>
  </r>
  <r>
    <n v="2018"/>
    <n v="10"/>
    <x v="0"/>
    <x v="0"/>
    <n v="10644"/>
    <n v="49594"/>
    <n v="527878536"/>
    <n v="2.1999999999999999E-2"/>
    <n v="16.95"/>
    <n v="3.33"/>
    <m/>
    <m/>
    <s v="Low Growth"/>
  </r>
  <r>
    <n v="2018"/>
    <n v="10"/>
    <x v="0"/>
    <x v="1"/>
    <n v="6973"/>
    <n v="63070"/>
    <n v="439787110"/>
    <n v="2.7E-2"/>
    <n v="16.95"/>
    <n v="3.33"/>
    <m/>
    <m/>
    <s v="Low Growth"/>
  </r>
  <r>
    <n v="2018"/>
    <n v="10"/>
    <x v="0"/>
    <x v="2"/>
    <n v="3713"/>
    <n v="57555"/>
    <n v="213701715"/>
    <n v="1.7000000000000001E-2"/>
    <n v="16.95"/>
    <n v="3.33"/>
    <m/>
    <m/>
    <s v="Low Growth"/>
  </r>
  <r>
    <n v="2018"/>
    <n v="10"/>
    <x v="0"/>
    <x v="3"/>
    <n v="3138"/>
    <n v="67933"/>
    <n v="213173754"/>
    <n v="1.9E-2"/>
    <n v="16.95"/>
    <n v="3.33"/>
    <m/>
    <m/>
    <s v="Low Growth"/>
  </r>
  <r>
    <n v="2018"/>
    <n v="10"/>
    <x v="0"/>
    <x v="4"/>
    <n v="3590"/>
    <n v="92987"/>
    <n v="333823330"/>
    <n v="-1E-3"/>
    <n v="16.95"/>
    <n v="3.33"/>
    <m/>
    <m/>
    <s v="Low Growth"/>
  </r>
  <r>
    <n v="2018"/>
    <n v="10"/>
    <x v="0"/>
    <x v="5"/>
    <n v="8061"/>
    <n v="64523"/>
    <n v="520119903"/>
    <n v="3.6999999999999998E-2"/>
    <n v="16.95"/>
    <n v="3.33"/>
    <m/>
    <m/>
    <s v="High Growth"/>
  </r>
  <r>
    <n v="2018"/>
    <n v="10"/>
    <x v="0"/>
    <x v="6"/>
    <n v="3692"/>
    <n v="73127"/>
    <n v="269984884"/>
    <n v="0.03"/>
    <n v="16.95"/>
    <n v="3.33"/>
    <m/>
    <m/>
    <s v="Low Growth"/>
  </r>
  <r>
    <n v="2018"/>
    <n v="10"/>
    <x v="0"/>
    <x v="7"/>
    <n v="6964"/>
    <n v="42768"/>
    <n v="297836352"/>
    <n v="0.02"/>
    <n v="16.95"/>
    <n v="3.33"/>
    <m/>
    <m/>
    <s v="Low Growth"/>
  </r>
  <r>
    <n v="2018"/>
    <n v="10"/>
    <x v="1"/>
    <x v="0"/>
    <n v="6206"/>
    <n v="47781"/>
    <n v="296528886"/>
    <n v="7.0000000000000001E-3"/>
    <n v="19.190000000000001"/>
    <n v="5.28"/>
    <m/>
    <m/>
    <s v="Low Growth"/>
  </r>
  <r>
    <n v="2018"/>
    <n v="10"/>
    <x v="1"/>
    <x v="1"/>
    <n v="3610"/>
    <n v="63306"/>
    <n v="228534660"/>
    <n v="2.7E-2"/>
    <n v="19.190000000000001"/>
    <n v="5.28"/>
    <m/>
    <m/>
    <s v="Low Growth"/>
  </r>
  <r>
    <n v="2018"/>
    <n v="10"/>
    <x v="1"/>
    <x v="2"/>
    <n v="4788"/>
    <n v="59180"/>
    <n v="283353840"/>
    <n v="0.02"/>
    <n v="19.190000000000001"/>
    <n v="5.28"/>
    <m/>
    <m/>
    <s v="Low Growth"/>
  </r>
  <r>
    <n v="2018"/>
    <n v="10"/>
    <x v="1"/>
    <x v="3"/>
    <n v="10921"/>
    <n v="67074"/>
    <n v="732515154"/>
    <n v="2.3E-2"/>
    <n v="19.190000000000001"/>
    <n v="5.28"/>
    <m/>
    <m/>
    <s v="Low Growth"/>
  </r>
  <r>
    <n v="2018"/>
    <n v="10"/>
    <x v="1"/>
    <x v="4"/>
    <n v="9006"/>
    <n v="93088"/>
    <n v="838350528"/>
    <n v="4.0000000000000001E-3"/>
    <n v="19.190000000000001"/>
    <n v="5.28"/>
    <m/>
    <m/>
    <s v="Low Growth"/>
  </r>
  <r>
    <n v="2018"/>
    <n v="10"/>
    <x v="1"/>
    <x v="5"/>
    <n v="7881"/>
    <n v="66224"/>
    <n v="521911344"/>
    <n v="2.5999999999999999E-2"/>
    <n v="19.190000000000001"/>
    <n v="5.28"/>
    <m/>
    <m/>
    <s v="Low Growth"/>
  </r>
  <r>
    <n v="2018"/>
    <n v="10"/>
    <x v="1"/>
    <x v="6"/>
    <n v="9158"/>
    <n v="76945"/>
    <n v="704662310"/>
    <n v="1.4999999999999999E-2"/>
    <n v="19.190000000000001"/>
    <n v="5.28"/>
    <m/>
    <m/>
    <s v="Low Growth"/>
  </r>
  <r>
    <n v="2018"/>
    <n v="10"/>
    <x v="1"/>
    <x v="7"/>
    <n v="2698"/>
    <n v="42074"/>
    <n v="113515652"/>
    <n v="2.5000000000000001E-2"/>
    <n v="19.190000000000001"/>
    <n v="5.28"/>
    <m/>
    <m/>
    <s v="Low Growth"/>
  </r>
  <r>
    <n v="2018"/>
    <n v="10"/>
    <x v="2"/>
    <x v="0"/>
    <n v="10588"/>
    <n v="49028"/>
    <n v="519108464"/>
    <n v="3.2000000000000001E-2"/>
    <n v="18.66"/>
    <n v="4.62"/>
    <m/>
    <m/>
    <s v="High Growth"/>
  </r>
  <r>
    <n v="2018"/>
    <n v="10"/>
    <x v="2"/>
    <x v="1"/>
    <n v="9635"/>
    <n v="60701"/>
    <n v="584854135"/>
    <n v="2.3E-2"/>
    <n v="18.66"/>
    <n v="4.62"/>
    <m/>
    <m/>
    <s v="Low Growth"/>
  </r>
  <r>
    <n v="2018"/>
    <n v="10"/>
    <x v="2"/>
    <x v="2"/>
    <n v="4921"/>
    <n v="57845"/>
    <n v="284655245"/>
    <n v="1E-3"/>
    <n v="18.66"/>
    <n v="4.62"/>
    <m/>
    <m/>
    <s v="Low Growth"/>
  </r>
  <r>
    <n v="2018"/>
    <n v="10"/>
    <x v="2"/>
    <x v="3"/>
    <n v="3691"/>
    <n v="70776"/>
    <n v="261234216"/>
    <n v="0.01"/>
    <n v="18.66"/>
    <n v="4.62"/>
    <m/>
    <m/>
    <s v="Low Growth"/>
  </r>
  <r>
    <n v="2018"/>
    <n v="10"/>
    <x v="2"/>
    <x v="4"/>
    <n v="5097"/>
    <n v="90028"/>
    <n v="458872716"/>
    <n v="2.1000000000000001E-2"/>
    <n v="18.66"/>
    <n v="4.62"/>
    <m/>
    <m/>
    <s v="Low Growth"/>
  </r>
  <r>
    <n v="2018"/>
    <n v="10"/>
    <x v="2"/>
    <x v="5"/>
    <n v="10298"/>
    <n v="66850"/>
    <n v="688421300"/>
    <n v="1.7999999999999999E-2"/>
    <n v="18.66"/>
    <n v="4.62"/>
    <m/>
    <m/>
    <s v="Low Growth"/>
  </r>
  <r>
    <n v="2018"/>
    <n v="10"/>
    <x v="2"/>
    <x v="6"/>
    <n v="7519"/>
    <n v="73186"/>
    <n v="550285534"/>
    <n v="2.8000000000000001E-2"/>
    <n v="18.66"/>
    <n v="4.62"/>
    <m/>
    <m/>
    <s v="Low Growth"/>
  </r>
  <r>
    <n v="2018"/>
    <n v="10"/>
    <x v="2"/>
    <x v="7"/>
    <n v="11344"/>
    <n v="41333"/>
    <n v="468881552"/>
    <n v="1.9E-2"/>
    <n v="18.66"/>
    <n v="4.62"/>
    <m/>
    <m/>
    <s v="Low Growth"/>
  </r>
  <r>
    <n v="2018"/>
    <n v="10"/>
    <x v="3"/>
    <x v="0"/>
    <n v="8276"/>
    <n v="46750"/>
    <n v="386903000"/>
    <n v="2E-3"/>
    <n v="6.87"/>
    <n v="5.08"/>
    <m/>
    <m/>
    <s v="Low Growth"/>
  </r>
  <r>
    <n v="2018"/>
    <n v="10"/>
    <x v="3"/>
    <x v="1"/>
    <n v="4048"/>
    <n v="63315"/>
    <n v="256299120"/>
    <n v="1.9E-2"/>
    <n v="6.87"/>
    <n v="5.08"/>
    <m/>
    <m/>
    <s v="Low Growth"/>
  </r>
  <r>
    <n v="2018"/>
    <n v="10"/>
    <x v="3"/>
    <x v="2"/>
    <n v="9120"/>
    <n v="58120"/>
    <n v="530054400"/>
    <n v="1.4999999999999999E-2"/>
    <n v="6.87"/>
    <n v="5.08"/>
    <m/>
    <m/>
    <s v="Low Growth"/>
  </r>
  <r>
    <n v="2018"/>
    <n v="10"/>
    <x v="3"/>
    <x v="3"/>
    <n v="4600"/>
    <n v="68040"/>
    <n v="312984000"/>
    <n v="4.2999999999999997E-2"/>
    <n v="6.87"/>
    <n v="5.08"/>
    <m/>
    <m/>
    <s v="High Growth"/>
  </r>
  <r>
    <n v="2018"/>
    <n v="10"/>
    <x v="3"/>
    <x v="4"/>
    <n v="7847"/>
    <n v="92089"/>
    <n v="722622383"/>
    <n v="0.04"/>
    <n v="6.87"/>
    <n v="5.08"/>
    <m/>
    <m/>
    <s v="High Growth"/>
  </r>
  <r>
    <n v="2018"/>
    <n v="10"/>
    <x v="3"/>
    <x v="5"/>
    <n v="9946"/>
    <n v="63130"/>
    <n v="627890980"/>
    <n v="0.02"/>
    <n v="6.87"/>
    <n v="5.08"/>
    <m/>
    <m/>
    <s v="Low Growth"/>
  </r>
  <r>
    <n v="2018"/>
    <n v="10"/>
    <x v="3"/>
    <x v="6"/>
    <n v="3564"/>
    <n v="75864"/>
    <n v="270379296"/>
    <n v="0.03"/>
    <n v="6.87"/>
    <n v="5.08"/>
    <m/>
    <m/>
    <s v="Low Growth"/>
  </r>
  <r>
    <n v="2018"/>
    <n v="10"/>
    <x v="3"/>
    <x v="7"/>
    <n v="5228"/>
    <n v="41040"/>
    <n v="214557120"/>
    <n v="1.4E-2"/>
    <n v="6.87"/>
    <n v="5.08"/>
    <m/>
    <m/>
    <s v="Low Growth"/>
  </r>
  <r>
    <n v="2018"/>
    <n v="11"/>
    <x v="0"/>
    <x v="0"/>
    <n v="3648"/>
    <n v="47508"/>
    <n v="173309184"/>
    <n v="3.3000000000000002E-2"/>
    <n v="15.3"/>
    <n v="2.93"/>
    <m/>
    <m/>
    <s v="High Growth"/>
  </r>
  <r>
    <n v="2018"/>
    <n v="11"/>
    <x v="0"/>
    <x v="1"/>
    <n v="4674"/>
    <n v="63023"/>
    <n v="294569502"/>
    <n v="2.7E-2"/>
    <n v="15.3"/>
    <n v="2.93"/>
    <m/>
    <m/>
    <s v="Low Growth"/>
  </r>
  <r>
    <n v="2018"/>
    <n v="11"/>
    <x v="0"/>
    <x v="2"/>
    <n v="10830"/>
    <n v="56488"/>
    <n v="611765040"/>
    <n v="3.4000000000000002E-2"/>
    <n v="15.3"/>
    <n v="2.93"/>
    <m/>
    <m/>
    <s v="High Growth"/>
  </r>
  <r>
    <n v="2018"/>
    <n v="11"/>
    <x v="0"/>
    <x v="3"/>
    <n v="10016"/>
    <n v="68561"/>
    <n v="686706976"/>
    <n v="0.03"/>
    <n v="15.3"/>
    <n v="2.93"/>
    <m/>
    <m/>
    <s v="Low Growth"/>
  </r>
  <r>
    <n v="2018"/>
    <n v="11"/>
    <x v="0"/>
    <x v="4"/>
    <n v="10201"/>
    <n v="90400"/>
    <n v="922170400"/>
    <n v="2.1000000000000001E-2"/>
    <n v="15.3"/>
    <n v="2.93"/>
    <m/>
    <m/>
    <s v="Low Growth"/>
  </r>
  <r>
    <n v="2018"/>
    <n v="11"/>
    <x v="0"/>
    <x v="5"/>
    <n v="7992"/>
    <n v="66028"/>
    <n v="527695776"/>
    <n v="1.4999999999999999E-2"/>
    <n v="15.3"/>
    <n v="2.93"/>
    <m/>
    <m/>
    <s v="Low Growth"/>
  </r>
  <r>
    <n v="2018"/>
    <n v="11"/>
    <x v="0"/>
    <x v="6"/>
    <n v="5374"/>
    <n v="75735"/>
    <n v="406999890"/>
    <n v="8.9999999999999993E-3"/>
    <n v="15.3"/>
    <n v="2.93"/>
    <m/>
    <m/>
    <s v="Low Growth"/>
  </r>
  <r>
    <n v="2018"/>
    <n v="11"/>
    <x v="0"/>
    <x v="7"/>
    <n v="9981"/>
    <n v="41521"/>
    <n v="414421101"/>
    <n v="3.1E-2"/>
    <n v="15.3"/>
    <n v="2.93"/>
    <m/>
    <m/>
    <s v="High Growth"/>
  </r>
  <r>
    <n v="2018"/>
    <n v="11"/>
    <x v="1"/>
    <x v="0"/>
    <n v="4673"/>
    <n v="49561"/>
    <n v="231598553"/>
    <n v="1.4999999999999999E-2"/>
    <n v="19.22"/>
    <n v="4.3600000000000003"/>
    <m/>
    <m/>
    <s v="Low Growth"/>
  </r>
  <r>
    <n v="2018"/>
    <n v="11"/>
    <x v="1"/>
    <x v="1"/>
    <n v="2958"/>
    <n v="61296"/>
    <n v="181313568"/>
    <n v="2.9000000000000001E-2"/>
    <n v="19.22"/>
    <n v="4.3600000000000003"/>
    <m/>
    <m/>
    <s v="Low Growth"/>
  </r>
  <r>
    <n v="2018"/>
    <n v="11"/>
    <x v="1"/>
    <x v="2"/>
    <n v="9683"/>
    <n v="58235"/>
    <n v="563889505"/>
    <n v="6.0000000000000001E-3"/>
    <n v="19.22"/>
    <n v="4.3600000000000003"/>
    <m/>
    <m/>
    <s v="Low Growth"/>
  </r>
  <r>
    <n v="2018"/>
    <n v="11"/>
    <x v="1"/>
    <x v="3"/>
    <n v="9956"/>
    <n v="68121"/>
    <n v="678212676"/>
    <n v="2.5000000000000001E-2"/>
    <n v="19.22"/>
    <n v="4.3600000000000003"/>
    <m/>
    <m/>
    <s v="Low Growth"/>
  </r>
  <r>
    <n v="2018"/>
    <n v="11"/>
    <x v="1"/>
    <x v="4"/>
    <n v="2498"/>
    <n v="90182"/>
    <n v="225274636"/>
    <n v="0.01"/>
    <n v="19.22"/>
    <n v="4.3600000000000003"/>
    <m/>
    <m/>
    <s v="Low Growth"/>
  </r>
  <r>
    <n v="2018"/>
    <n v="11"/>
    <x v="1"/>
    <x v="5"/>
    <n v="9144"/>
    <n v="63363"/>
    <n v="579391272"/>
    <n v="3.3000000000000002E-2"/>
    <n v="19.22"/>
    <n v="4.3600000000000003"/>
    <m/>
    <m/>
    <s v="High Growth"/>
  </r>
  <r>
    <n v="2018"/>
    <n v="11"/>
    <x v="1"/>
    <x v="6"/>
    <n v="10193"/>
    <n v="74372"/>
    <n v="758073796"/>
    <n v="2.4E-2"/>
    <n v="19.22"/>
    <n v="4.3600000000000003"/>
    <m/>
    <m/>
    <s v="Low Growth"/>
  </r>
  <r>
    <n v="2018"/>
    <n v="11"/>
    <x v="1"/>
    <x v="7"/>
    <n v="3249"/>
    <n v="43468"/>
    <n v="141227532"/>
    <n v="1E-3"/>
    <n v="19.22"/>
    <n v="4.3600000000000003"/>
    <m/>
    <m/>
    <s v="Low Growth"/>
  </r>
  <r>
    <n v="2018"/>
    <n v="11"/>
    <x v="2"/>
    <x v="0"/>
    <n v="10451"/>
    <n v="46250"/>
    <n v="483358750"/>
    <n v="2.3E-2"/>
    <n v="18.309999999999999"/>
    <n v="3.87"/>
    <m/>
    <m/>
    <s v="Low Growth"/>
  </r>
  <r>
    <n v="2018"/>
    <n v="11"/>
    <x v="2"/>
    <x v="1"/>
    <n v="5994"/>
    <n v="61914"/>
    <n v="371112516"/>
    <n v="0.02"/>
    <n v="18.309999999999999"/>
    <n v="3.87"/>
    <m/>
    <m/>
    <s v="Low Growth"/>
  </r>
  <r>
    <n v="2018"/>
    <n v="11"/>
    <x v="2"/>
    <x v="2"/>
    <n v="9220"/>
    <n v="57771"/>
    <n v="532648620"/>
    <n v="4.5999999999999999E-2"/>
    <n v="18.309999999999999"/>
    <n v="3.87"/>
    <m/>
    <m/>
    <s v="High Growth"/>
  </r>
  <r>
    <n v="2018"/>
    <n v="11"/>
    <x v="2"/>
    <x v="3"/>
    <n v="11356"/>
    <n v="69424"/>
    <n v="788378944"/>
    <n v="1.2999999999999999E-2"/>
    <n v="18.309999999999999"/>
    <n v="3.87"/>
    <m/>
    <m/>
    <s v="Low Growth"/>
  </r>
  <r>
    <n v="2018"/>
    <n v="11"/>
    <x v="2"/>
    <x v="4"/>
    <n v="6517"/>
    <n v="90339"/>
    <n v="588739263"/>
    <n v="1.7000000000000001E-2"/>
    <n v="18.309999999999999"/>
    <n v="3.87"/>
    <m/>
    <m/>
    <s v="Low Growth"/>
  </r>
  <r>
    <n v="2018"/>
    <n v="11"/>
    <x v="2"/>
    <x v="5"/>
    <n v="5947"/>
    <n v="65050"/>
    <n v="386852350"/>
    <n v="1.2999999999999999E-2"/>
    <n v="18.309999999999999"/>
    <n v="3.87"/>
    <m/>
    <m/>
    <s v="Low Growth"/>
  </r>
  <r>
    <n v="2018"/>
    <n v="11"/>
    <x v="2"/>
    <x v="6"/>
    <n v="3481"/>
    <n v="73145"/>
    <n v="254617745"/>
    <n v="2.8000000000000001E-2"/>
    <n v="18.309999999999999"/>
    <n v="3.87"/>
    <m/>
    <m/>
    <s v="Low Growth"/>
  </r>
  <r>
    <n v="2018"/>
    <n v="11"/>
    <x v="2"/>
    <x v="7"/>
    <n v="6543"/>
    <n v="43736"/>
    <n v="286164648"/>
    <n v="1.4999999999999999E-2"/>
    <n v="18.309999999999999"/>
    <n v="3.87"/>
    <m/>
    <m/>
    <s v="Low Growth"/>
  </r>
  <r>
    <n v="2018"/>
    <n v="11"/>
    <x v="3"/>
    <x v="0"/>
    <n v="6644"/>
    <n v="49211"/>
    <n v="326957884"/>
    <n v="3.5999999999999997E-2"/>
    <n v="5.09"/>
    <n v="3.46"/>
    <m/>
    <m/>
    <s v="High Growth"/>
  </r>
  <r>
    <n v="2018"/>
    <n v="11"/>
    <x v="3"/>
    <x v="1"/>
    <n v="4111"/>
    <n v="62108"/>
    <n v="255325988"/>
    <n v="0.01"/>
    <n v="5.09"/>
    <n v="3.46"/>
    <m/>
    <m/>
    <s v="Low Growth"/>
  </r>
  <r>
    <n v="2018"/>
    <n v="11"/>
    <x v="3"/>
    <x v="2"/>
    <n v="11048"/>
    <n v="59390"/>
    <n v="656140720"/>
    <n v="2.3E-2"/>
    <n v="5.09"/>
    <n v="3.46"/>
    <m/>
    <m/>
    <s v="Low Growth"/>
  </r>
  <r>
    <n v="2018"/>
    <n v="11"/>
    <x v="3"/>
    <x v="3"/>
    <n v="10166"/>
    <n v="68085"/>
    <n v="692152110"/>
    <n v="2.1000000000000001E-2"/>
    <n v="5.09"/>
    <n v="3.46"/>
    <m/>
    <m/>
    <s v="Low Growth"/>
  </r>
  <r>
    <n v="2018"/>
    <n v="11"/>
    <x v="3"/>
    <x v="4"/>
    <n v="4149"/>
    <n v="93932"/>
    <n v="389723868"/>
    <n v="1.9E-2"/>
    <n v="5.09"/>
    <n v="3.46"/>
    <m/>
    <m/>
    <s v="Low Growth"/>
  </r>
  <r>
    <n v="2018"/>
    <n v="11"/>
    <x v="3"/>
    <x v="5"/>
    <n v="7532"/>
    <n v="63884"/>
    <n v="481174288"/>
    <n v="1.2999999999999999E-2"/>
    <n v="5.09"/>
    <n v="3.46"/>
    <m/>
    <m/>
    <s v="Low Growth"/>
  </r>
  <r>
    <n v="2018"/>
    <n v="11"/>
    <x v="3"/>
    <x v="6"/>
    <n v="5760"/>
    <n v="75553"/>
    <n v="435185280"/>
    <n v="1.6E-2"/>
    <n v="5.09"/>
    <n v="3.46"/>
    <m/>
    <m/>
    <s v="Low Growth"/>
  </r>
  <r>
    <n v="2018"/>
    <n v="11"/>
    <x v="3"/>
    <x v="7"/>
    <n v="8456"/>
    <n v="41911"/>
    <n v="354399416"/>
    <n v="1.9E-2"/>
    <n v="5.09"/>
    <n v="3.46"/>
    <m/>
    <m/>
    <s v="Low Growth"/>
  </r>
  <r>
    <n v="2018"/>
    <n v="12"/>
    <x v="0"/>
    <x v="0"/>
    <n v="5759"/>
    <n v="47776"/>
    <n v="275141984"/>
    <n v="4.4999999999999998E-2"/>
    <n v="20.78"/>
    <n v="2.5"/>
    <m/>
    <m/>
    <s v="High Growth"/>
  </r>
  <r>
    <n v="2018"/>
    <n v="12"/>
    <x v="0"/>
    <x v="1"/>
    <n v="11172"/>
    <n v="62466"/>
    <n v="697870152"/>
    <n v="2.5000000000000001E-2"/>
    <n v="20.78"/>
    <n v="2.5"/>
    <m/>
    <m/>
    <s v="Low Growth"/>
  </r>
  <r>
    <n v="2018"/>
    <n v="12"/>
    <x v="0"/>
    <x v="2"/>
    <n v="12695"/>
    <n v="56159"/>
    <n v="712938505"/>
    <n v="1.2E-2"/>
    <n v="20.78"/>
    <n v="2.5"/>
    <m/>
    <m/>
    <s v="Low Growth"/>
  </r>
  <r>
    <n v="2018"/>
    <n v="12"/>
    <x v="0"/>
    <x v="3"/>
    <n v="11446"/>
    <n v="67780"/>
    <n v="775809880"/>
    <n v="2.5000000000000001E-2"/>
    <n v="20.78"/>
    <n v="2.5"/>
    <m/>
    <m/>
    <s v="Low Growth"/>
  </r>
  <r>
    <n v="2018"/>
    <n v="12"/>
    <x v="0"/>
    <x v="4"/>
    <n v="10765"/>
    <n v="92682"/>
    <n v="997721730"/>
    <n v="-2E-3"/>
    <n v="20.78"/>
    <n v="2.5"/>
    <m/>
    <m/>
    <s v="Low Growth"/>
  </r>
  <r>
    <n v="2018"/>
    <n v="12"/>
    <x v="0"/>
    <x v="5"/>
    <n v="12846"/>
    <n v="66612"/>
    <n v="855697752"/>
    <n v="1.0999999999999999E-2"/>
    <n v="20.78"/>
    <n v="2.5"/>
    <m/>
    <m/>
    <s v="Low Growth"/>
  </r>
  <r>
    <n v="2018"/>
    <n v="12"/>
    <x v="0"/>
    <x v="6"/>
    <n v="4089"/>
    <n v="76332"/>
    <n v="312121548"/>
    <n v="2.5000000000000001E-2"/>
    <n v="20.78"/>
    <n v="2.5"/>
    <m/>
    <m/>
    <s v="Low Growth"/>
  </r>
  <r>
    <n v="2018"/>
    <n v="12"/>
    <x v="0"/>
    <x v="7"/>
    <n v="3799"/>
    <n v="43297"/>
    <n v="164485303"/>
    <n v="3.1E-2"/>
    <n v="20.78"/>
    <n v="2.5"/>
    <m/>
    <m/>
    <s v="High Growth"/>
  </r>
  <r>
    <n v="2018"/>
    <n v="12"/>
    <x v="1"/>
    <x v="0"/>
    <n v="7119"/>
    <n v="46036"/>
    <n v="327730284"/>
    <n v="0.02"/>
    <n v="15.82"/>
    <n v="1.25"/>
    <m/>
    <m/>
    <s v="Low Growth"/>
  </r>
  <r>
    <n v="2018"/>
    <n v="12"/>
    <x v="1"/>
    <x v="1"/>
    <n v="6072"/>
    <n v="60795"/>
    <n v="369147240"/>
    <n v="1.4E-2"/>
    <n v="15.82"/>
    <n v="1.25"/>
    <m/>
    <m/>
    <s v="Low Growth"/>
  </r>
  <r>
    <n v="2018"/>
    <n v="12"/>
    <x v="1"/>
    <x v="2"/>
    <n v="7189"/>
    <n v="58162"/>
    <n v="418126618"/>
    <n v="0.02"/>
    <n v="15.82"/>
    <n v="1.25"/>
    <m/>
    <m/>
    <s v="Low Growth"/>
  </r>
  <r>
    <n v="2018"/>
    <n v="12"/>
    <x v="1"/>
    <x v="3"/>
    <n v="5769"/>
    <n v="68346"/>
    <n v="394288074"/>
    <n v="0.03"/>
    <n v="15.82"/>
    <n v="1.25"/>
    <m/>
    <m/>
    <s v="Low Growth"/>
  </r>
  <r>
    <n v="2018"/>
    <n v="12"/>
    <x v="1"/>
    <x v="4"/>
    <n v="4500"/>
    <n v="91996"/>
    <n v="413982000"/>
    <n v="2.5000000000000001E-2"/>
    <n v="15.82"/>
    <n v="1.25"/>
    <m/>
    <m/>
    <s v="Low Growth"/>
  </r>
  <r>
    <n v="2018"/>
    <n v="12"/>
    <x v="1"/>
    <x v="5"/>
    <n v="4193"/>
    <n v="64285"/>
    <n v="269547005"/>
    <n v="0.04"/>
    <n v="15.82"/>
    <n v="1.25"/>
    <m/>
    <m/>
    <s v="High Growth"/>
  </r>
  <r>
    <n v="2018"/>
    <n v="12"/>
    <x v="1"/>
    <x v="6"/>
    <n v="7492"/>
    <n v="75400"/>
    <n v="564896800"/>
    <n v="2.5999999999999999E-2"/>
    <n v="15.82"/>
    <n v="1.25"/>
    <m/>
    <m/>
    <s v="Low Growth"/>
  </r>
  <r>
    <n v="2018"/>
    <n v="12"/>
    <x v="1"/>
    <x v="7"/>
    <n v="4624"/>
    <n v="42828"/>
    <n v="198036672"/>
    <n v="3.1E-2"/>
    <n v="15.82"/>
    <n v="1.25"/>
    <m/>
    <m/>
    <s v="High Growth"/>
  </r>
  <r>
    <n v="2018"/>
    <n v="12"/>
    <x v="2"/>
    <x v="0"/>
    <n v="7464"/>
    <n v="48180"/>
    <n v="359615520"/>
    <n v="1.0999999999999999E-2"/>
    <n v="18.760000000000002"/>
    <n v="3.5"/>
    <m/>
    <m/>
    <s v="Low Growth"/>
  </r>
  <r>
    <n v="2018"/>
    <n v="12"/>
    <x v="2"/>
    <x v="1"/>
    <n v="3361"/>
    <n v="60825"/>
    <n v="204432825"/>
    <n v="2.5999999999999999E-2"/>
    <n v="18.760000000000002"/>
    <n v="3.5"/>
    <m/>
    <m/>
    <s v="Low Growth"/>
  </r>
  <r>
    <n v="2018"/>
    <n v="12"/>
    <x v="2"/>
    <x v="2"/>
    <n v="5838"/>
    <n v="59741"/>
    <n v="348767958"/>
    <n v="1.6E-2"/>
    <n v="18.760000000000002"/>
    <n v="3.5"/>
    <m/>
    <m/>
    <s v="Low Growth"/>
  </r>
  <r>
    <n v="2018"/>
    <n v="12"/>
    <x v="2"/>
    <x v="3"/>
    <n v="7147"/>
    <n v="69129"/>
    <n v="494064963"/>
    <n v="1.2E-2"/>
    <n v="18.760000000000002"/>
    <n v="3.5"/>
    <m/>
    <m/>
    <s v="Low Growth"/>
  </r>
  <r>
    <n v="2018"/>
    <n v="12"/>
    <x v="2"/>
    <x v="4"/>
    <n v="5393"/>
    <n v="91547"/>
    <n v="493712971"/>
    <n v="3.5999999999999997E-2"/>
    <n v="18.760000000000002"/>
    <n v="3.5"/>
    <m/>
    <m/>
    <s v="High Growth"/>
  </r>
  <r>
    <n v="2018"/>
    <n v="12"/>
    <x v="2"/>
    <x v="5"/>
    <n v="3073"/>
    <n v="64985"/>
    <n v="199698905"/>
    <n v="2.3E-2"/>
    <n v="18.760000000000002"/>
    <n v="3.5"/>
    <m/>
    <m/>
    <s v="Low Growth"/>
  </r>
  <r>
    <n v="2018"/>
    <n v="12"/>
    <x v="2"/>
    <x v="6"/>
    <n v="8627"/>
    <n v="74256"/>
    <n v="640606512"/>
    <n v="1.7999999999999999E-2"/>
    <n v="18.760000000000002"/>
    <n v="3.5"/>
    <m/>
    <m/>
    <s v="Low Growth"/>
  </r>
  <r>
    <n v="2018"/>
    <n v="12"/>
    <x v="2"/>
    <x v="7"/>
    <n v="5020"/>
    <n v="40359"/>
    <n v="202602180"/>
    <n v="1.4E-2"/>
    <n v="18.760000000000002"/>
    <n v="3.5"/>
    <m/>
    <m/>
    <s v="Low Growth"/>
  </r>
  <r>
    <n v="2018"/>
    <n v="12"/>
    <x v="3"/>
    <x v="0"/>
    <n v="3857"/>
    <n v="46585"/>
    <n v="179678345"/>
    <n v="2.3E-2"/>
    <n v="6.08"/>
    <n v="3.75"/>
    <m/>
    <m/>
    <s v="Low Growth"/>
  </r>
  <r>
    <n v="2018"/>
    <n v="12"/>
    <x v="3"/>
    <x v="1"/>
    <n v="8637"/>
    <n v="61247"/>
    <n v="528990339"/>
    <n v="1.6E-2"/>
    <n v="6.08"/>
    <n v="3.75"/>
    <m/>
    <m/>
    <s v="Low Growth"/>
  </r>
  <r>
    <n v="2018"/>
    <n v="12"/>
    <x v="3"/>
    <x v="2"/>
    <n v="4328"/>
    <n v="56988"/>
    <n v="246644064"/>
    <n v="2.5999999999999999E-2"/>
    <n v="6.08"/>
    <n v="3.75"/>
    <m/>
    <m/>
    <s v="Low Growth"/>
  </r>
  <r>
    <n v="2018"/>
    <n v="12"/>
    <x v="3"/>
    <x v="3"/>
    <n v="3054"/>
    <n v="68219"/>
    <n v="208340826"/>
    <n v="2.1999999999999999E-2"/>
    <n v="6.08"/>
    <n v="3.75"/>
    <m/>
    <m/>
    <s v="Low Growth"/>
  </r>
  <r>
    <n v="2018"/>
    <n v="12"/>
    <x v="3"/>
    <x v="4"/>
    <n v="10514"/>
    <n v="90730"/>
    <n v="953935220"/>
    <n v="1.6E-2"/>
    <n v="6.08"/>
    <n v="3.75"/>
    <m/>
    <m/>
    <s v="Low Growth"/>
  </r>
  <r>
    <n v="2018"/>
    <n v="12"/>
    <x v="3"/>
    <x v="5"/>
    <n v="3894"/>
    <n v="65571"/>
    <n v="255333474"/>
    <n v="2.1999999999999999E-2"/>
    <n v="6.08"/>
    <n v="3.75"/>
    <m/>
    <m/>
    <s v="Low Growth"/>
  </r>
  <r>
    <n v="2018"/>
    <n v="12"/>
    <x v="3"/>
    <x v="6"/>
    <n v="12769"/>
    <n v="73021"/>
    <n v="932405149"/>
    <n v="1.7999999999999999E-2"/>
    <n v="6.08"/>
    <n v="3.75"/>
    <m/>
    <m/>
    <s v="Low Growth"/>
  </r>
  <r>
    <n v="2018"/>
    <n v="12"/>
    <x v="3"/>
    <x v="7"/>
    <n v="7775"/>
    <n v="43191"/>
    <n v="335810025"/>
    <n v="3.7999999999999999E-2"/>
    <n v="6.08"/>
    <n v="3.75"/>
    <m/>
    <m/>
    <s v="High Growth"/>
  </r>
  <r>
    <n v="2019"/>
    <n v="1"/>
    <x v="0"/>
    <x v="0"/>
    <n v="7462"/>
    <n v="48506"/>
    <n v="361951772"/>
    <n v="5.6000000000000001E-2"/>
    <n v="19.309999999999999"/>
    <n v="2.44"/>
    <m/>
    <m/>
    <s v="High Growth"/>
  </r>
  <r>
    <n v="2019"/>
    <n v="1"/>
    <x v="0"/>
    <x v="1"/>
    <n v="5730"/>
    <n v="60515"/>
    <n v="346750950"/>
    <n v="0.04"/>
    <n v="19.309999999999999"/>
    <n v="2.44"/>
    <m/>
    <m/>
    <s v="High Growth"/>
  </r>
  <r>
    <n v="2019"/>
    <n v="1"/>
    <x v="0"/>
    <x v="2"/>
    <n v="9556"/>
    <n v="56886"/>
    <n v="543602616"/>
    <n v="3.3000000000000002E-2"/>
    <n v="19.309999999999999"/>
    <n v="2.44"/>
    <m/>
    <m/>
    <s v="High Growth"/>
  </r>
  <r>
    <n v="2019"/>
    <n v="1"/>
    <x v="0"/>
    <x v="3"/>
    <n v="5229"/>
    <n v="69204"/>
    <n v="361867716"/>
    <n v="4.2999999999999997E-2"/>
    <n v="19.309999999999999"/>
    <n v="2.44"/>
    <m/>
    <m/>
    <s v="High Growth"/>
  </r>
  <r>
    <n v="2019"/>
    <n v="1"/>
    <x v="0"/>
    <x v="4"/>
    <n v="3520"/>
    <n v="91562"/>
    <n v="322298240"/>
    <n v="5.6000000000000001E-2"/>
    <n v="19.309999999999999"/>
    <n v="2.44"/>
    <m/>
    <m/>
    <s v="High Growth"/>
  </r>
  <r>
    <n v="2019"/>
    <n v="1"/>
    <x v="0"/>
    <x v="5"/>
    <n v="6143"/>
    <n v="65896"/>
    <n v="404799128"/>
    <n v="5.8000000000000003E-2"/>
    <n v="19.309999999999999"/>
    <n v="2.44"/>
    <m/>
    <m/>
    <s v="High Growth"/>
  </r>
  <r>
    <n v="2019"/>
    <n v="1"/>
    <x v="0"/>
    <x v="6"/>
    <n v="3413"/>
    <n v="73083"/>
    <n v="249432279"/>
    <n v="4.3999999999999997E-2"/>
    <n v="19.309999999999999"/>
    <n v="2.44"/>
    <m/>
    <m/>
    <s v="High Growth"/>
  </r>
  <r>
    <n v="2019"/>
    <n v="1"/>
    <x v="0"/>
    <x v="7"/>
    <n v="4092"/>
    <n v="41976"/>
    <n v="171765792"/>
    <n v="5.0999999999999997E-2"/>
    <n v="19.309999999999999"/>
    <n v="2.44"/>
    <m/>
    <m/>
    <s v="High Growth"/>
  </r>
  <r>
    <n v="2019"/>
    <n v="1"/>
    <x v="1"/>
    <x v="0"/>
    <n v="3359"/>
    <n v="47855"/>
    <n v="160744945"/>
    <n v="3.7999999999999999E-2"/>
    <n v="16.25"/>
    <n v="1.1499999999999999"/>
    <m/>
    <m/>
    <s v="High Growth"/>
  </r>
  <r>
    <n v="2019"/>
    <n v="1"/>
    <x v="1"/>
    <x v="1"/>
    <n v="5436"/>
    <n v="60792"/>
    <n v="330465312"/>
    <n v="3.7999999999999999E-2"/>
    <n v="16.25"/>
    <n v="1.1499999999999999"/>
    <m/>
    <m/>
    <s v="High Growth"/>
  </r>
  <r>
    <n v="2019"/>
    <n v="1"/>
    <x v="1"/>
    <x v="2"/>
    <n v="3220"/>
    <n v="58255"/>
    <n v="187581100"/>
    <n v="5.5E-2"/>
    <n v="16.25"/>
    <n v="1.1499999999999999"/>
    <m/>
    <m/>
    <s v="High Growth"/>
  </r>
  <r>
    <n v="2019"/>
    <n v="1"/>
    <x v="1"/>
    <x v="3"/>
    <n v="5978"/>
    <n v="68607"/>
    <n v="410132646"/>
    <n v="4.2000000000000003E-2"/>
    <n v="16.25"/>
    <n v="1.1499999999999999"/>
    <m/>
    <m/>
    <s v="High Growth"/>
  </r>
  <r>
    <n v="2019"/>
    <n v="1"/>
    <x v="1"/>
    <x v="4"/>
    <n v="7513"/>
    <n v="93380"/>
    <n v="701563940"/>
    <n v="4.8000000000000001E-2"/>
    <n v="16.25"/>
    <n v="1.1499999999999999"/>
    <m/>
    <m/>
    <s v="High Growth"/>
  </r>
  <r>
    <n v="2019"/>
    <n v="1"/>
    <x v="1"/>
    <x v="5"/>
    <n v="10969"/>
    <n v="63590"/>
    <n v="697518710"/>
    <n v="4.2999999999999997E-2"/>
    <n v="16.25"/>
    <n v="1.1499999999999999"/>
    <m/>
    <m/>
    <s v="High Growth"/>
  </r>
  <r>
    <n v="2019"/>
    <n v="1"/>
    <x v="1"/>
    <x v="6"/>
    <n v="3473"/>
    <n v="75434"/>
    <n v="261982282"/>
    <n v="0.05"/>
    <n v="16.25"/>
    <n v="1.1499999999999999"/>
    <m/>
    <m/>
    <s v="High Growth"/>
  </r>
  <r>
    <n v="2019"/>
    <n v="1"/>
    <x v="1"/>
    <x v="7"/>
    <n v="3384"/>
    <n v="41963"/>
    <n v="142002792"/>
    <n v="5.0999999999999997E-2"/>
    <n v="16.25"/>
    <n v="1.1499999999999999"/>
    <m/>
    <m/>
    <s v="High Growth"/>
  </r>
  <r>
    <n v="2019"/>
    <n v="1"/>
    <x v="2"/>
    <x v="0"/>
    <n v="4280"/>
    <n v="47016"/>
    <n v="201228480"/>
    <n v="3.1E-2"/>
    <n v="17.37"/>
    <n v="4.25"/>
    <m/>
    <m/>
    <s v="High Growth"/>
  </r>
  <r>
    <n v="2019"/>
    <n v="1"/>
    <x v="2"/>
    <x v="1"/>
    <n v="9392"/>
    <n v="63902"/>
    <n v="600167584"/>
    <n v="4.2000000000000003E-2"/>
    <n v="17.37"/>
    <n v="4.25"/>
    <m/>
    <m/>
    <s v="High Growth"/>
  </r>
  <r>
    <n v="2019"/>
    <n v="1"/>
    <x v="2"/>
    <x v="2"/>
    <n v="7445"/>
    <n v="56583"/>
    <n v="421260435"/>
    <n v="5.3999999999999999E-2"/>
    <n v="17.37"/>
    <n v="4.25"/>
    <m/>
    <m/>
    <s v="High Growth"/>
  </r>
  <r>
    <n v="2019"/>
    <n v="1"/>
    <x v="2"/>
    <x v="3"/>
    <n v="10847"/>
    <n v="68087"/>
    <n v="738539689"/>
    <n v="2.8000000000000001E-2"/>
    <n v="17.37"/>
    <n v="4.25"/>
    <m/>
    <m/>
    <s v="Low Growth"/>
  </r>
  <r>
    <n v="2019"/>
    <n v="1"/>
    <x v="2"/>
    <x v="4"/>
    <n v="6152"/>
    <n v="92013"/>
    <n v="566063976"/>
    <n v="4.3999999999999997E-2"/>
    <n v="17.37"/>
    <n v="4.25"/>
    <m/>
    <m/>
    <s v="High Growth"/>
  </r>
  <r>
    <n v="2019"/>
    <n v="1"/>
    <x v="2"/>
    <x v="5"/>
    <n v="3805"/>
    <n v="66566"/>
    <n v="253283630"/>
    <n v="3.3000000000000002E-2"/>
    <n v="17.37"/>
    <n v="4.25"/>
    <m/>
    <m/>
    <s v="High Growth"/>
  </r>
  <r>
    <n v="2019"/>
    <n v="1"/>
    <x v="2"/>
    <x v="6"/>
    <n v="10623"/>
    <n v="75848"/>
    <n v="805733304"/>
    <n v="5.5E-2"/>
    <n v="17.37"/>
    <n v="4.25"/>
    <m/>
    <m/>
    <s v="High Growth"/>
  </r>
  <r>
    <n v="2019"/>
    <n v="1"/>
    <x v="2"/>
    <x v="7"/>
    <n v="4445"/>
    <n v="40101"/>
    <n v="178248945"/>
    <n v="3.4000000000000002E-2"/>
    <n v="17.37"/>
    <n v="4.25"/>
    <m/>
    <m/>
    <s v="High Growth"/>
  </r>
  <r>
    <n v="2019"/>
    <n v="1"/>
    <x v="3"/>
    <x v="0"/>
    <n v="9032"/>
    <n v="49731"/>
    <n v="449170392"/>
    <n v="6.9000000000000006E-2"/>
    <n v="6.5"/>
    <n v="3.26"/>
    <m/>
    <m/>
    <s v="High Growth"/>
  </r>
  <r>
    <n v="2019"/>
    <n v="1"/>
    <x v="3"/>
    <x v="1"/>
    <n v="5107"/>
    <n v="60713"/>
    <n v="310061291"/>
    <n v="4.4999999999999998E-2"/>
    <n v="6.5"/>
    <n v="3.26"/>
    <m/>
    <m/>
    <s v="High Growth"/>
  </r>
  <r>
    <n v="2019"/>
    <n v="1"/>
    <x v="3"/>
    <x v="2"/>
    <n v="11377"/>
    <n v="57949"/>
    <n v="659285773"/>
    <n v="3.5999999999999997E-2"/>
    <n v="6.5"/>
    <n v="3.26"/>
    <m/>
    <m/>
    <s v="High Growth"/>
  </r>
  <r>
    <n v="2019"/>
    <n v="1"/>
    <x v="3"/>
    <x v="3"/>
    <n v="9033"/>
    <n v="69163"/>
    <n v="624749379"/>
    <n v="4.4999999999999998E-2"/>
    <n v="6.5"/>
    <n v="3.26"/>
    <m/>
    <m/>
    <s v="High Growth"/>
  </r>
  <r>
    <n v="2019"/>
    <n v="1"/>
    <x v="3"/>
    <x v="4"/>
    <n v="10110"/>
    <n v="92918"/>
    <n v="939400980"/>
    <n v="3.5000000000000003E-2"/>
    <n v="6.5"/>
    <n v="3.26"/>
    <m/>
    <m/>
    <s v="High Growth"/>
  </r>
  <r>
    <n v="2019"/>
    <n v="1"/>
    <x v="3"/>
    <x v="5"/>
    <n v="2533"/>
    <n v="64709"/>
    <n v="163907897"/>
    <n v="4.2000000000000003E-2"/>
    <n v="6.5"/>
    <n v="3.26"/>
    <m/>
    <m/>
    <s v="High Growth"/>
  </r>
  <r>
    <n v="2019"/>
    <n v="1"/>
    <x v="3"/>
    <x v="6"/>
    <n v="5421"/>
    <n v="74895"/>
    <n v="406005795"/>
    <n v="4.5999999999999999E-2"/>
    <n v="6.5"/>
    <n v="3.26"/>
    <m/>
    <m/>
    <s v="High Growth"/>
  </r>
  <r>
    <n v="2019"/>
    <n v="1"/>
    <x v="3"/>
    <x v="7"/>
    <n v="8405"/>
    <n v="40316"/>
    <n v="338855980"/>
    <n v="4.2000000000000003E-2"/>
    <n v="6.5"/>
    <n v="3.26"/>
    <m/>
    <m/>
    <s v="High Growth"/>
  </r>
  <r>
    <n v="2019"/>
    <n v="2"/>
    <x v="0"/>
    <x v="0"/>
    <n v="5762"/>
    <n v="48430"/>
    <n v="279053660"/>
    <n v="0.05"/>
    <n v="20.100000000000001"/>
    <n v="4.8099999999999996"/>
    <m/>
    <m/>
    <s v="High Growth"/>
  </r>
  <r>
    <n v="2019"/>
    <n v="2"/>
    <x v="0"/>
    <x v="1"/>
    <n v="2894"/>
    <n v="61107"/>
    <n v="176843658"/>
    <n v="5.8000000000000003E-2"/>
    <n v="20.100000000000001"/>
    <n v="4.8099999999999996"/>
    <m/>
    <m/>
    <s v="High Growth"/>
  </r>
  <r>
    <n v="2019"/>
    <n v="2"/>
    <x v="0"/>
    <x v="2"/>
    <n v="2648"/>
    <n v="56409"/>
    <n v="149371032"/>
    <n v="5.8000000000000003E-2"/>
    <n v="20.100000000000001"/>
    <n v="4.8099999999999996"/>
    <m/>
    <m/>
    <s v="High Growth"/>
  </r>
  <r>
    <n v="2019"/>
    <n v="2"/>
    <x v="0"/>
    <x v="3"/>
    <n v="3321"/>
    <n v="67514"/>
    <n v="224213994"/>
    <n v="4.7E-2"/>
    <n v="20.100000000000001"/>
    <n v="4.8099999999999996"/>
    <m/>
    <m/>
    <s v="High Growth"/>
  </r>
  <r>
    <n v="2019"/>
    <n v="2"/>
    <x v="0"/>
    <x v="4"/>
    <n v="9583"/>
    <n v="90970"/>
    <n v="871765510"/>
    <n v="6.2E-2"/>
    <n v="20.100000000000001"/>
    <n v="4.8099999999999996"/>
    <m/>
    <m/>
    <s v="High Growth"/>
  </r>
  <r>
    <n v="2019"/>
    <n v="2"/>
    <x v="0"/>
    <x v="5"/>
    <n v="9470"/>
    <n v="65134"/>
    <n v="616818980"/>
    <n v="4.7E-2"/>
    <n v="20.100000000000001"/>
    <n v="4.8099999999999996"/>
    <m/>
    <m/>
    <s v="High Growth"/>
  </r>
  <r>
    <n v="2019"/>
    <n v="2"/>
    <x v="0"/>
    <x v="6"/>
    <n v="3972"/>
    <n v="76638"/>
    <n v="304406136"/>
    <n v="4.2000000000000003E-2"/>
    <n v="20.100000000000001"/>
    <n v="4.8099999999999996"/>
    <m/>
    <m/>
    <s v="High Growth"/>
  </r>
  <r>
    <n v="2019"/>
    <n v="2"/>
    <x v="0"/>
    <x v="7"/>
    <n v="11195"/>
    <n v="43427"/>
    <n v="486165265"/>
    <n v="4.9000000000000002E-2"/>
    <n v="20.100000000000001"/>
    <n v="4.8099999999999996"/>
    <m/>
    <m/>
    <s v="High Growth"/>
  </r>
  <r>
    <n v="2019"/>
    <n v="2"/>
    <x v="1"/>
    <x v="0"/>
    <n v="2745"/>
    <n v="46311"/>
    <n v="127123695"/>
    <n v="3.2000000000000001E-2"/>
    <n v="17.04"/>
    <n v="3.57"/>
    <m/>
    <m/>
    <s v="High Growth"/>
  </r>
  <r>
    <n v="2019"/>
    <n v="2"/>
    <x v="1"/>
    <x v="1"/>
    <n v="5303"/>
    <n v="61082"/>
    <n v="323917846"/>
    <n v="5.7000000000000002E-2"/>
    <n v="17.04"/>
    <n v="3.57"/>
    <m/>
    <m/>
    <s v="High Growth"/>
  </r>
  <r>
    <n v="2019"/>
    <n v="2"/>
    <x v="1"/>
    <x v="2"/>
    <n v="11199"/>
    <n v="57982"/>
    <n v="649340418"/>
    <n v="0.04"/>
    <n v="17.04"/>
    <n v="3.57"/>
    <m/>
    <m/>
    <s v="High Growth"/>
  </r>
  <r>
    <n v="2019"/>
    <n v="2"/>
    <x v="1"/>
    <x v="3"/>
    <n v="2790"/>
    <n v="67902"/>
    <n v="189446580"/>
    <n v="4.7E-2"/>
    <n v="17.04"/>
    <n v="3.57"/>
    <m/>
    <m/>
    <s v="High Growth"/>
  </r>
  <r>
    <n v="2019"/>
    <n v="2"/>
    <x v="1"/>
    <x v="4"/>
    <n v="9300"/>
    <n v="92071"/>
    <n v="856260300"/>
    <n v="4.3999999999999997E-2"/>
    <n v="17.04"/>
    <n v="3.57"/>
    <m/>
    <m/>
    <s v="High Growth"/>
  </r>
  <r>
    <n v="2019"/>
    <n v="2"/>
    <x v="1"/>
    <x v="5"/>
    <n v="10856"/>
    <n v="65852"/>
    <n v="714889312"/>
    <n v="0.05"/>
    <n v="17.04"/>
    <n v="3.57"/>
    <m/>
    <m/>
    <s v="High Growth"/>
  </r>
  <r>
    <n v="2019"/>
    <n v="2"/>
    <x v="1"/>
    <x v="6"/>
    <n v="5825"/>
    <n v="75467"/>
    <n v="439595275"/>
    <n v="4.7E-2"/>
    <n v="17.04"/>
    <n v="3.57"/>
    <m/>
    <m/>
    <s v="High Growth"/>
  </r>
  <r>
    <n v="2019"/>
    <n v="2"/>
    <x v="1"/>
    <x v="7"/>
    <n v="11707"/>
    <n v="43188"/>
    <n v="505601916"/>
    <n v="5.5E-2"/>
    <n v="17.04"/>
    <n v="3.57"/>
    <m/>
    <m/>
    <s v="High Growth"/>
  </r>
  <r>
    <n v="2019"/>
    <n v="2"/>
    <x v="2"/>
    <x v="0"/>
    <n v="3810"/>
    <n v="49714"/>
    <n v="189410340"/>
    <n v="3.5999999999999997E-2"/>
    <n v="18.18"/>
    <n v="4.57"/>
    <m/>
    <m/>
    <s v="High Growth"/>
  </r>
  <r>
    <n v="2019"/>
    <n v="2"/>
    <x v="2"/>
    <x v="1"/>
    <n v="2963"/>
    <n v="63623"/>
    <n v="188514949"/>
    <n v="3.1E-2"/>
    <n v="18.18"/>
    <n v="4.57"/>
    <m/>
    <m/>
    <s v="High Growth"/>
  </r>
  <r>
    <n v="2019"/>
    <n v="2"/>
    <x v="2"/>
    <x v="2"/>
    <n v="5340"/>
    <n v="58147"/>
    <n v="310504980"/>
    <n v="5.1999999999999998E-2"/>
    <n v="18.18"/>
    <n v="4.57"/>
    <m/>
    <m/>
    <s v="High Growth"/>
  </r>
  <r>
    <n v="2019"/>
    <n v="2"/>
    <x v="2"/>
    <x v="3"/>
    <n v="9193"/>
    <n v="67477"/>
    <n v="620316061"/>
    <n v="3.7999999999999999E-2"/>
    <n v="18.18"/>
    <n v="4.57"/>
    <m/>
    <m/>
    <s v="High Growth"/>
  </r>
  <r>
    <n v="2019"/>
    <n v="2"/>
    <x v="2"/>
    <x v="4"/>
    <n v="11380"/>
    <n v="92340"/>
    <n v="1050829200"/>
    <n v="4.7E-2"/>
    <n v="18.18"/>
    <n v="4.57"/>
    <m/>
    <m/>
    <s v="High Growth"/>
  </r>
  <r>
    <n v="2019"/>
    <n v="2"/>
    <x v="2"/>
    <x v="5"/>
    <n v="6994"/>
    <n v="65365"/>
    <n v="457162810"/>
    <n v="2.1999999999999999E-2"/>
    <n v="18.18"/>
    <n v="4.57"/>
    <m/>
    <m/>
    <s v="Low Growth"/>
  </r>
  <r>
    <n v="2019"/>
    <n v="2"/>
    <x v="2"/>
    <x v="6"/>
    <n v="3938"/>
    <n v="73503"/>
    <n v="289454814"/>
    <n v="4.2999999999999997E-2"/>
    <n v="18.18"/>
    <n v="4.57"/>
    <m/>
    <m/>
    <s v="High Growth"/>
  </r>
  <r>
    <n v="2019"/>
    <n v="2"/>
    <x v="2"/>
    <x v="7"/>
    <n v="4675"/>
    <n v="42008"/>
    <n v="196387400"/>
    <n v="5.6000000000000001E-2"/>
    <n v="18.18"/>
    <n v="4.57"/>
    <m/>
    <m/>
    <s v="High Growth"/>
  </r>
  <r>
    <n v="2019"/>
    <n v="2"/>
    <x v="3"/>
    <x v="0"/>
    <n v="10488"/>
    <n v="48046"/>
    <n v="503906448"/>
    <n v="5.2999999999999999E-2"/>
    <n v="6.3"/>
    <n v="2.31"/>
    <m/>
    <m/>
    <s v="High Growth"/>
  </r>
  <r>
    <n v="2019"/>
    <n v="2"/>
    <x v="3"/>
    <x v="1"/>
    <n v="7870"/>
    <n v="60459"/>
    <n v="475812330"/>
    <n v="3.3000000000000002E-2"/>
    <n v="6.3"/>
    <n v="2.31"/>
    <m/>
    <m/>
    <s v="High Growth"/>
  </r>
  <r>
    <n v="2019"/>
    <n v="2"/>
    <x v="3"/>
    <x v="2"/>
    <n v="9356"/>
    <n v="59778"/>
    <n v="559282968"/>
    <n v="2.9000000000000001E-2"/>
    <n v="6.3"/>
    <n v="2.31"/>
    <m/>
    <m/>
    <s v="Low Growth"/>
  </r>
  <r>
    <n v="2019"/>
    <n v="2"/>
    <x v="3"/>
    <x v="3"/>
    <n v="3061"/>
    <n v="67269"/>
    <n v="205910409"/>
    <n v="4.2000000000000003E-2"/>
    <n v="6.3"/>
    <n v="2.31"/>
    <m/>
    <m/>
    <s v="High Growth"/>
  </r>
  <r>
    <n v="2019"/>
    <n v="2"/>
    <x v="3"/>
    <x v="4"/>
    <n v="8047"/>
    <n v="91280"/>
    <n v="734530160"/>
    <n v="5.5E-2"/>
    <n v="6.3"/>
    <n v="2.31"/>
    <m/>
    <m/>
    <s v="High Growth"/>
  </r>
  <r>
    <n v="2019"/>
    <n v="2"/>
    <x v="3"/>
    <x v="5"/>
    <n v="8587"/>
    <n v="66347"/>
    <n v="569721689"/>
    <n v="0.04"/>
    <n v="6.3"/>
    <n v="2.31"/>
    <m/>
    <m/>
    <s v="High Growth"/>
  </r>
  <r>
    <n v="2019"/>
    <n v="2"/>
    <x v="3"/>
    <x v="6"/>
    <n v="8214"/>
    <n v="73575"/>
    <n v="604345050"/>
    <n v="0.06"/>
    <n v="6.3"/>
    <n v="2.31"/>
    <m/>
    <m/>
    <s v="High Growth"/>
  </r>
  <r>
    <n v="2019"/>
    <n v="2"/>
    <x v="3"/>
    <x v="7"/>
    <n v="9324"/>
    <n v="42003"/>
    <n v="391635972"/>
    <n v="5.3999999999999999E-2"/>
    <n v="6.3"/>
    <n v="2.31"/>
    <m/>
    <m/>
    <s v="High Growth"/>
  </r>
  <r>
    <n v="2019"/>
    <n v="3"/>
    <x v="0"/>
    <x v="0"/>
    <n v="6875"/>
    <n v="47390"/>
    <n v="325806250"/>
    <n v="0.04"/>
    <n v="16.5"/>
    <n v="4.4000000000000004"/>
    <m/>
    <m/>
    <s v="High Growth"/>
  </r>
  <r>
    <n v="2019"/>
    <n v="3"/>
    <x v="0"/>
    <x v="1"/>
    <n v="4806"/>
    <n v="61925"/>
    <n v="297611550"/>
    <n v="6.3E-2"/>
    <n v="16.5"/>
    <n v="4.4000000000000004"/>
    <m/>
    <m/>
    <s v="High Growth"/>
  </r>
  <r>
    <n v="2019"/>
    <n v="3"/>
    <x v="0"/>
    <x v="2"/>
    <n v="3533"/>
    <n v="58381"/>
    <n v="206260073"/>
    <n v="0.04"/>
    <n v="16.5"/>
    <n v="4.4000000000000004"/>
    <m/>
    <m/>
    <s v="High Growth"/>
  </r>
  <r>
    <n v="2019"/>
    <n v="3"/>
    <x v="0"/>
    <x v="3"/>
    <n v="3929"/>
    <n v="69558"/>
    <n v="273293382"/>
    <n v="4.4999999999999998E-2"/>
    <n v="16.5"/>
    <n v="4.4000000000000004"/>
    <m/>
    <m/>
    <s v="High Growth"/>
  </r>
  <r>
    <n v="2019"/>
    <n v="3"/>
    <x v="0"/>
    <x v="4"/>
    <n v="13295"/>
    <n v="91058"/>
    <n v="1210616110"/>
    <n v="4.5999999999999999E-2"/>
    <n v="16.5"/>
    <n v="4.4000000000000004"/>
    <m/>
    <m/>
    <s v="High Growth"/>
  </r>
  <r>
    <n v="2019"/>
    <n v="3"/>
    <x v="0"/>
    <x v="5"/>
    <n v="7696"/>
    <n v="65532"/>
    <n v="504334272"/>
    <n v="0.04"/>
    <n v="16.5"/>
    <n v="4.4000000000000004"/>
    <m/>
    <m/>
    <s v="High Growth"/>
  </r>
  <r>
    <n v="2019"/>
    <n v="3"/>
    <x v="0"/>
    <x v="6"/>
    <n v="8699"/>
    <n v="74229"/>
    <n v="645718071"/>
    <n v="4.5999999999999999E-2"/>
    <n v="16.5"/>
    <n v="4.4000000000000004"/>
    <m/>
    <m/>
    <s v="High Growth"/>
  </r>
  <r>
    <n v="2019"/>
    <n v="3"/>
    <x v="0"/>
    <x v="7"/>
    <n v="13286"/>
    <n v="40489"/>
    <n v="537936854"/>
    <n v="2.5000000000000001E-2"/>
    <n v="16.5"/>
    <n v="4.4000000000000004"/>
    <m/>
    <m/>
    <s v="Low Growth"/>
  </r>
  <r>
    <n v="2019"/>
    <n v="3"/>
    <x v="1"/>
    <x v="0"/>
    <n v="2974"/>
    <n v="47208"/>
    <n v="140396592"/>
    <n v="4.5999999999999999E-2"/>
    <n v="18.8"/>
    <n v="2.52"/>
    <m/>
    <m/>
    <s v="High Growth"/>
  </r>
  <r>
    <n v="2019"/>
    <n v="3"/>
    <x v="1"/>
    <x v="1"/>
    <n v="8884"/>
    <n v="63255"/>
    <n v="561957420"/>
    <n v="0.05"/>
    <n v="18.8"/>
    <n v="2.52"/>
    <m/>
    <m/>
    <s v="High Growth"/>
  </r>
  <r>
    <n v="2019"/>
    <n v="3"/>
    <x v="1"/>
    <x v="2"/>
    <n v="10353"/>
    <n v="57317"/>
    <n v="593402901"/>
    <n v="2.4E-2"/>
    <n v="18.8"/>
    <n v="2.52"/>
    <m/>
    <m/>
    <s v="Low Growth"/>
  </r>
  <r>
    <n v="2019"/>
    <n v="3"/>
    <x v="1"/>
    <x v="3"/>
    <n v="9963"/>
    <n v="69431"/>
    <n v="691741053"/>
    <n v="4.8000000000000001E-2"/>
    <n v="18.8"/>
    <n v="2.52"/>
    <m/>
    <m/>
    <s v="High Growth"/>
  </r>
  <r>
    <n v="2019"/>
    <n v="3"/>
    <x v="1"/>
    <x v="4"/>
    <n v="9355"/>
    <n v="92793"/>
    <n v="868078515"/>
    <n v="5.6000000000000001E-2"/>
    <n v="18.8"/>
    <n v="2.52"/>
    <m/>
    <m/>
    <s v="High Growth"/>
  </r>
  <r>
    <n v="2019"/>
    <n v="3"/>
    <x v="1"/>
    <x v="5"/>
    <n v="3842"/>
    <n v="63374"/>
    <n v="243482908"/>
    <n v="3.5000000000000003E-2"/>
    <n v="18.8"/>
    <n v="2.52"/>
    <m/>
    <m/>
    <s v="High Growth"/>
  </r>
  <r>
    <n v="2019"/>
    <n v="3"/>
    <x v="1"/>
    <x v="6"/>
    <n v="10961"/>
    <n v="73516"/>
    <n v="805808876"/>
    <n v="3.9E-2"/>
    <n v="18.8"/>
    <n v="2.52"/>
    <m/>
    <m/>
    <s v="High Growth"/>
  </r>
  <r>
    <n v="2019"/>
    <n v="3"/>
    <x v="1"/>
    <x v="7"/>
    <n v="4189"/>
    <n v="43873"/>
    <n v="183783997"/>
    <n v="6.4000000000000001E-2"/>
    <n v="18.8"/>
    <n v="2.52"/>
    <m/>
    <m/>
    <s v="High Growth"/>
  </r>
  <r>
    <n v="2019"/>
    <n v="3"/>
    <x v="2"/>
    <x v="0"/>
    <n v="11562"/>
    <n v="46587"/>
    <n v="538638894"/>
    <n v="4.7E-2"/>
    <n v="15.71"/>
    <n v="2.9"/>
    <m/>
    <m/>
    <s v="High Growth"/>
  </r>
  <r>
    <n v="2019"/>
    <n v="3"/>
    <x v="2"/>
    <x v="1"/>
    <n v="3949"/>
    <n v="61863"/>
    <n v="244296987"/>
    <n v="5.6000000000000001E-2"/>
    <n v="15.71"/>
    <n v="2.9"/>
    <m/>
    <m/>
    <s v="High Growth"/>
  </r>
  <r>
    <n v="2019"/>
    <n v="3"/>
    <x v="2"/>
    <x v="2"/>
    <n v="7863"/>
    <n v="59218"/>
    <n v="465631134"/>
    <n v="5.6000000000000001E-2"/>
    <n v="15.71"/>
    <n v="2.9"/>
    <m/>
    <m/>
    <s v="High Growth"/>
  </r>
  <r>
    <n v="2019"/>
    <n v="3"/>
    <x v="2"/>
    <x v="3"/>
    <n v="6371"/>
    <n v="68327"/>
    <n v="435311317"/>
    <n v="5.7000000000000002E-2"/>
    <n v="15.71"/>
    <n v="2.9"/>
    <m/>
    <m/>
    <s v="High Growth"/>
  </r>
  <r>
    <n v="2019"/>
    <n v="3"/>
    <x v="2"/>
    <x v="4"/>
    <n v="12038"/>
    <n v="92632"/>
    <n v="1115104016"/>
    <n v="5.5E-2"/>
    <n v="15.71"/>
    <n v="2.9"/>
    <m/>
    <m/>
    <s v="High Growth"/>
  </r>
  <r>
    <n v="2019"/>
    <n v="3"/>
    <x v="2"/>
    <x v="5"/>
    <n v="7169"/>
    <n v="65636"/>
    <n v="470544484"/>
    <n v="4.2000000000000003E-2"/>
    <n v="15.71"/>
    <n v="2.9"/>
    <m/>
    <m/>
    <s v="High Growth"/>
  </r>
  <r>
    <n v="2019"/>
    <n v="3"/>
    <x v="2"/>
    <x v="6"/>
    <n v="6492"/>
    <n v="76452"/>
    <n v="496326384"/>
    <n v="5.0999999999999997E-2"/>
    <n v="15.71"/>
    <n v="2.9"/>
    <m/>
    <m/>
    <s v="High Growth"/>
  </r>
  <r>
    <n v="2019"/>
    <n v="3"/>
    <x v="2"/>
    <x v="7"/>
    <n v="6427"/>
    <n v="40493"/>
    <n v="260248511"/>
    <n v="4.9000000000000002E-2"/>
    <n v="15.71"/>
    <n v="2.9"/>
    <m/>
    <m/>
    <s v="High Growth"/>
  </r>
  <r>
    <n v="2019"/>
    <n v="3"/>
    <x v="3"/>
    <x v="0"/>
    <n v="3965"/>
    <n v="49712"/>
    <n v="197108080"/>
    <n v="5.2999999999999999E-2"/>
    <n v="6.8"/>
    <n v="2.89"/>
    <m/>
    <m/>
    <s v="High Growth"/>
  </r>
  <r>
    <n v="2019"/>
    <n v="3"/>
    <x v="3"/>
    <x v="1"/>
    <n v="4381"/>
    <n v="60821"/>
    <n v="266456801"/>
    <n v="4.1000000000000002E-2"/>
    <n v="6.8"/>
    <n v="2.89"/>
    <m/>
    <m/>
    <s v="High Growth"/>
  </r>
  <r>
    <n v="2019"/>
    <n v="3"/>
    <x v="3"/>
    <x v="2"/>
    <n v="3346"/>
    <n v="56916"/>
    <n v="190440936"/>
    <n v="3.2000000000000001E-2"/>
    <n v="6.8"/>
    <n v="2.89"/>
    <m/>
    <m/>
    <s v="High Growth"/>
  </r>
  <r>
    <n v="2019"/>
    <n v="3"/>
    <x v="3"/>
    <x v="3"/>
    <n v="6089"/>
    <n v="69652"/>
    <n v="424111028"/>
    <n v="2.9000000000000001E-2"/>
    <n v="6.8"/>
    <n v="2.89"/>
    <m/>
    <m/>
    <s v="Low Growth"/>
  </r>
  <r>
    <n v="2019"/>
    <n v="3"/>
    <x v="3"/>
    <x v="4"/>
    <n v="9168"/>
    <n v="92338"/>
    <n v="846554784"/>
    <n v="5.6000000000000001E-2"/>
    <n v="6.8"/>
    <n v="2.89"/>
    <m/>
    <m/>
    <s v="High Growth"/>
  </r>
  <r>
    <n v="2019"/>
    <n v="3"/>
    <x v="3"/>
    <x v="5"/>
    <n v="9697"/>
    <n v="65149"/>
    <n v="631749853"/>
    <n v="6.7000000000000004E-2"/>
    <n v="6.8"/>
    <n v="2.89"/>
    <m/>
    <m/>
    <s v="High Growth"/>
  </r>
  <r>
    <n v="2019"/>
    <n v="3"/>
    <x v="3"/>
    <x v="6"/>
    <n v="10774"/>
    <n v="73961"/>
    <n v="796855814"/>
    <n v="0.05"/>
    <n v="6.8"/>
    <n v="2.89"/>
    <m/>
    <m/>
    <s v="High Growth"/>
  </r>
  <r>
    <n v="2019"/>
    <n v="3"/>
    <x v="3"/>
    <x v="7"/>
    <n v="6219"/>
    <n v="43848"/>
    <n v="272690712"/>
    <n v="3.5000000000000003E-2"/>
    <n v="6.8"/>
    <n v="2.89"/>
    <m/>
    <m/>
    <s v="High Growth"/>
  </r>
  <r>
    <n v="2019"/>
    <n v="4"/>
    <x v="0"/>
    <x v="0"/>
    <n v="3597"/>
    <n v="47763"/>
    <n v="171803511"/>
    <n v="2.9000000000000001E-2"/>
    <n v="17.63"/>
    <n v="3.98"/>
    <m/>
    <m/>
    <s v="Low Growth"/>
  </r>
  <r>
    <n v="2019"/>
    <n v="4"/>
    <x v="0"/>
    <x v="1"/>
    <n v="10503"/>
    <n v="60943"/>
    <n v="640084329"/>
    <n v="4.7E-2"/>
    <n v="17.63"/>
    <n v="3.98"/>
    <m/>
    <m/>
    <s v="High Growth"/>
  </r>
  <r>
    <n v="2019"/>
    <n v="4"/>
    <x v="0"/>
    <x v="2"/>
    <n v="7774"/>
    <n v="58474"/>
    <n v="454576876"/>
    <n v="5.3999999999999999E-2"/>
    <n v="17.63"/>
    <n v="3.98"/>
    <m/>
    <m/>
    <s v="High Growth"/>
  </r>
  <r>
    <n v="2019"/>
    <n v="4"/>
    <x v="0"/>
    <x v="3"/>
    <n v="11444"/>
    <n v="67020"/>
    <n v="766976880"/>
    <n v="5.5E-2"/>
    <n v="17.63"/>
    <n v="3.98"/>
    <m/>
    <m/>
    <s v="High Growth"/>
  </r>
  <r>
    <n v="2019"/>
    <n v="4"/>
    <x v="0"/>
    <x v="4"/>
    <n v="2843"/>
    <n v="93188"/>
    <n v="264933484"/>
    <n v="5.3999999999999999E-2"/>
    <n v="17.63"/>
    <n v="3.98"/>
    <m/>
    <m/>
    <s v="High Growth"/>
  </r>
  <r>
    <n v="2019"/>
    <n v="4"/>
    <x v="0"/>
    <x v="5"/>
    <n v="7576"/>
    <n v="65446"/>
    <n v="495818896"/>
    <n v="4.2999999999999997E-2"/>
    <n v="17.63"/>
    <n v="3.98"/>
    <m/>
    <m/>
    <s v="High Growth"/>
  </r>
  <r>
    <n v="2019"/>
    <n v="4"/>
    <x v="0"/>
    <x v="6"/>
    <n v="9233"/>
    <n v="73323"/>
    <n v="676991259"/>
    <n v="3.3000000000000002E-2"/>
    <n v="17.63"/>
    <n v="3.98"/>
    <m/>
    <m/>
    <s v="High Growth"/>
  </r>
  <r>
    <n v="2019"/>
    <n v="4"/>
    <x v="0"/>
    <x v="7"/>
    <n v="2583"/>
    <n v="40469"/>
    <n v="104531427"/>
    <n v="0.06"/>
    <n v="17.63"/>
    <n v="3.98"/>
    <m/>
    <m/>
    <s v="High Growth"/>
  </r>
  <r>
    <n v="2019"/>
    <n v="4"/>
    <x v="1"/>
    <x v="0"/>
    <n v="10826"/>
    <n v="48798"/>
    <n v="528287148"/>
    <n v="3.5000000000000003E-2"/>
    <n v="18.32"/>
    <n v="2.5299999999999998"/>
    <m/>
    <m/>
    <s v="High Growth"/>
  </r>
  <r>
    <n v="2019"/>
    <n v="4"/>
    <x v="1"/>
    <x v="1"/>
    <n v="9600"/>
    <n v="60105"/>
    <n v="577008000"/>
    <n v="3.4000000000000002E-2"/>
    <n v="18.32"/>
    <n v="2.5299999999999998"/>
    <m/>
    <m/>
    <s v="High Growth"/>
  </r>
  <r>
    <n v="2019"/>
    <n v="4"/>
    <x v="1"/>
    <x v="2"/>
    <n v="7866"/>
    <n v="58636"/>
    <n v="461230776"/>
    <n v="3.7999999999999999E-2"/>
    <n v="18.32"/>
    <n v="2.5299999999999998"/>
    <m/>
    <m/>
    <s v="High Growth"/>
  </r>
  <r>
    <n v="2019"/>
    <n v="4"/>
    <x v="1"/>
    <x v="3"/>
    <n v="9087"/>
    <n v="69137"/>
    <n v="628247919"/>
    <n v="6.0999999999999999E-2"/>
    <n v="18.32"/>
    <n v="2.5299999999999998"/>
    <m/>
    <m/>
    <s v="High Growth"/>
  </r>
  <r>
    <n v="2019"/>
    <n v="4"/>
    <x v="1"/>
    <x v="4"/>
    <n v="6795"/>
    <n v="93657"/>
    <n v="636399315"/>
    <n v="5.0999999999999997E-2"/>
    <n v="18.32"/>
    <n v="2.5299999999999998"/>
    <m/>
    <m/>
    <s v="High Growth"/>
  </r>
  <r>
    <n v="2019"/>
    <n v="4"/>
    <x v="1"/>
    <x v="5"/>
    <n v="9346"/>
    <n v="65206"/>
    <n v="609415276"/>
    <n v="3.5000000000000003E-2"/>
    <n v="18.32"/>
    <n v="2.5299999999999998"/>
    <m/>
    <m/>
    <s v="High Growth"/>
  </r>
  <r>
    <n v="2019"/>
    <n v="4"/>
    <x v="1"/>
    <x v="6"/>
    <n v="6021"/>
    <n v="73444"/>
    <n v="442206324"/>
    <n v="5.3999999999999999E-2"/>
    <n v="18.32"/>
    <n v="2.5299999999999998"/>
    <m/>
    <m/>
    <s v="High Growth"/>
  </r>
  <r>
    <n v="2019"/>
    <n v="4"/>
    <x v="1"/>
    <x v="7"/>
    <n v="8748"/>
    <n v="40951"/>
    <n v="358239348"/>
    <n v="3.7999999999999999E-2"/>
    <n v="18.32"/>
    <n v="2.5299999999999998"/>
    <m/>
    <m/>
    <s v="High Growth"/>
  </r>
  <r>
    <n v="2019"/>
    <n v="4"/>
    <x v="2"/>
    <x v="0"/>
    <n v="7623"/>
    <n v="48938"/>
    <n v="373054374"/>
    <n v="4.5999999999999999E-2"/>
    <n v="19.64"/>
    <n v="2.98"/>
    <m/>
    <m/>
    <s v="High Growth"/>
  </r>
  <r>
    <n v="2019"/>
    <n v="4"/>
    <x v="2"/>
    <x v="1"/>
    <n v="8595"/>
    <n v="62934"/>
    <n v="540917730"/>
    <n v="4.1000000000000002E-2"/>
    <n v="19.64"/>
    <n v="2.98"/>
    <m/>
    <m/>
    <s v="High Growth"/>
  </r>
  <r>
    <n v="2019"/>
    <n v="4"/>
    <x v="2"/>
    <x v="2"/>
    <n v="9574"/>
    <n v="59097"/>
    <n v="565794678"/>
    <n v="7.0000000000000007E-2"/>
    <n v="19.64"/>
    <n v="2.98"/>
    <m/>
    <m/>
    <s v="High Growth"/>
  </r>
  <r>
    <n v="2019"/>
    <n v="4"/>
    <x v="2"/>
    <x v="3"/>
    <n v="6963"/>
    <n v="68806"/>
    <n v="479096178"/>
    <n v="4.9000000000000002E-2"/>
    <n v="19.64"/>
    <n v="2.98"/>
    <m/>
    <m/>
    <s v="High Growth"/>
  </r>
  <r>
    <n v="2019"/>
    <n v="4"/>
    <x v="2"/>
    <x v="4"/>
    <n v="2455"/>
    <n v="92729"/>
    <n v="227649695"/>
    <n v="0.04"/>
    <n v="19.64"/>
    <n v="2.98"/>
    <m/>
    <m/>
    <s v="High Growth"/>
  </r>
  <r>
    <n v="2019"/>
    <n v="4"/>
    <x v="2"/>
    <x v="5"/>
    <n v="8605"/>
    <n v="63719"/>
    <n v="548301995"/>
    <n v="3.4000000000000002E-2"/>
    <n v="19.64"/>
    <n v="2.98"/>
    <m/>
    <m/>
    <s v="High Growth"/>
  </r>
  <r>
    <n v="2019"/>
    <n v="4"/>
    <x v="2"/>
    <x v="6"/>
    <n v="3495"/>
    <n v="73049"/>
    <n v="255306255"/>
    <n v="5.1999999999999998E-2"/>
    <n v="19.64"/>
    <n v="2.98"/>
    <m/>
    <m/>
    <s v="High Growth"/>
  </r>
  <r>
    <n v="2019"/>
    <n v="4"/>
    <x v="2"/>
    <x v="7"/>
    <n v="9106"/>
    <n v="42578"/>
    <n v="387715268"/>
    <n v="3.7999999999999999E-2"/>
    <n v="19.64"/>
    <n v="2.98"/>
    <m/>
    <m/>
    <s v="High Growth"/>
  </r>
  <r>
    <n v="2019"/>
    <n v="4"/>
    <x v="3"/>
    <x v="0"/>
    <n v="7348"/>
    <n v="48289"/>
    <n v="354827572"/>
    <n v="3.6999999999999998E-2"/>
    <n v="6.62"/>
    <n v="3.44"/>
    <m/>
    <m/>
    <s v="High Growth"/>
  </r>
  <r>
    <n v="2019"/>
    <n v="4"/>
    <x v="3"/>
    <x v="1"/>
    <n v="2917"/>
    <n v="63179"/>
    <n v="184293143"/>
    <n v="6.6000000000000003E-2"/>
    <n v="6.62"/>
    <n v="3.44"/>
    <m/>
    <m/>
    <s v="High Growth"/>
  </r>
  <r>
    <n v="2019"/>
    <n v="4"/>
    <x v="3"/>
    <x v="2"/>
    <n v="3668"/>
    <n v="56661"/>
    <n v="207832548"/>
    <n v="7.0000000000000007E-2"/>
    <n v="6.62"/>
    <n v="3.44"/>
    <m/>
    <m/>
    <s v="High Growth"/>
  </r>
  <r>
    <n v="2019"/>
    <n v="4"/>
    <x v="3"/>
    <x v="3"/>
    <n v="5236"/>
    <n v="70726"/>
    <n v="370321336"/>
    <n v="2.5999999999999999E-2"/>
    <n v="6.62"/>
    <n v="3.44"/>
    <m/>
    <m/>
    <s v="Low Growth"/>
  </r>
  <r>
    <n v="2019"/>
    <n v="4"/>
    <x v="3"/>
    <x v="4"/>
    <n v="3412"/>
    <n v="90968"/>
    <n v="310382816"/>
    <n v="5.0999999999999997E-2"/>
    <n v="6.62"/>
    <n v="3.44"/>
    <m/>
    <m/>
    <s v="High Growth"/>
  </r>
  <r>
    <n v="2019"/>
    <n v="4"/>
    <x v="3"/>
    <x v="5"/>
    <n v="3522"/>
    <n v="65556"/>
    <n v="230888232"/>
    <n v="3.3000000000000002E-2"/>
    <n v="6.62"/>
    <n v="3.44"/>
    <m/>
    <m/>
    <s v="High Growth"/>
  </r>
  <r>
    <n v="2019"/>
    <n v="4"/>
    <x v="3"/>
    <x v="6"/>
    <n v="10892"/>
    <n v="74826"/>
    <n v="815004792"/>
    <n v="4.8000000000000001E-2"/>
    <n v="6.62"/>
    <n v="3.44"/>
    <m/>
    <m/>
    <s v="High Growth"/>
  </r>
  <r>
    <n v="2019"/>
    <n v="4"/>
    <x v="3"/>
    <x v="7"/>
    <n v="6710"/>
    <n v="43668"/>
    <n v="293012280"/>
    <n v="4.4999999999999998E-2"/>
    <n v="6.62"/>
    <n v="3.44"/>
    <m/>
    <m/>
    <s v="High Growth"/>
  </r>
  <r>
    <n v="2019"/>
    <n v="7"/>
    <x v="0"/>
    <x v="0"/>
    <n v="10394"/>
    <n v="46758"/>
    <n v="486002652"/>
    <n v="5.0999999999999997E-2"/>
    <n v="14.27"/>
    <n v="3.68"/>
    <m/>
    <m/>
    <s v="High Growth"/>
  </r>
  <r>
    <n v="2019"/>
    <n v="7"/>
    <x v="0"/>
    <x v="1"/>
    <n v="3204"/>
    <n v="62773"/>
    <n v="201124692"/>
    <n v="0.05"/>
    <n v="14.27"/>
    <n v="3.68"/>
    <m/>
    <m/>
    <s v="High Growth"/>
  </r>
  <r>
    <n v="2019"/>
    <n v="7"/>
    <x v="0"/>
    <x v="2"/>
    <n v="4644"/>
    <n v="59926"/>
    <n v="278296344"/>
    <n v="4.9000000000000002E-2"/>
    <n v="14.27"/>
    <n v="3.68"/>
    <m/>
    <m/>
    <s v="High Growth"/>
  </r>
  <r>
    <n v="2019"/>
    <n v="7"/>
    <x v="0"/>
    <x v="3"/>
    <n v="11298"/>
    <n v="70244"/>
    <n v="793616712"/>
    <n v="4.2000000000000003E-2"/>
    <n v="14.27"/>
    <n v="3.68"/>
    <m/>
    <m/>
    <s v="High Growth"/>
  </r>
  <r>
    <n v="2019"/>
    <n v="7"/>
    <x v="0"/>
    <x v="4"/>
    <n v="9376"/>
    <n v="90844"/>
    <n v="851753344"/>
    <n v="6.5000000000000002E-2"/>
    <n v="14.27"/>
    <n v="3.68"/>
    <m/>
    <m/>
    <s v="High Growth"/>
  </r>
  <r>
    <n v="2019"/>
    <n v="7"/>
    <x v="0"/>
    <x v="5"/>
    <n v="5646"/>
    <n v="66576"/>
    <n v="375888096"/>
    <n v="4.5999999999999999E-2"/>
    <n v="14.27"/>
    <n v="3.68"/>
    <m/>
    <m/>
    <s v="High Growth"/>
  </r>
  <r>
    <n v="2019"/>
    <n v="7"/>
    <x v="0"/>
    <x v="6"/>
    <n v="5827"/>
    <n v="73365"/>
    <n v="427497855"/>
    <n v="3.6999999999999998E-2"/>
    <n v="14.27"/>
    <n v="3.68"/>
    <m/>
    <m/>
    <s v="High Growth"/>
  </r>
  <r>
    <n v="2019"/>
    <n v="7"/>
    <x v="0"/>
    <x v="7"/>
    <n v="6879"/>
    <n v="40398"/>
    <n v="277897842"/>
    <n v="5.8000000000000003E-2"/>
    <n v="14.27"/>
    <n v="3.68"/>
    <m/>
    <m/>
    <s v="High Growth"/>
  </r>
  <r>
    <n v="2019"/>
    <n v="7"/>
    <x v="1"/>
    <x v="0"/>
    <n v="7768"/>
    <n v="48415"/>
    <n v="376087720"/>
    <n v="3.6999999999999998E-2"/>
    <n v="17.850000000000001"/>
    <n v="1.92"/>
    <m/>
    <m/>
    <s v="High Growth"/>
  </r>
  <r>
    <n v="2019"/>
    <n v="7"/>
    <x v="1"/>
    <x v="1"/>
    <n v="9788"/>
    <n v="61246"/>
    <n v="599475848"/>
    <n v="4.3999999999999997E-2"/>
    <n v="17.850000000000001"/>
    <n v="1.92"/>
    <m/>
    <m/>
    <s v="High Growth"/>
  </r>
  <r>
    <n v="2019"/>
    <n v="7"/>
    <x v="1"/>
    <x v="2"/>
    <n v="6202"/>
    <n v="57640"/>
    <n v="357483280"/>
    <n v="3.5999999999999997E-2"/>
    <n v="17.850000000000001"/>
    <n v="1.92"/>
    <m/>
    <m/>
    <s v="High Growth"/>
  </r>
  <r>
    <n v="2019"/>
    <n v="7"/>
    <x v="1"/>
    <x v="3"/>
    <n v="10831"/>
    <n v="67118"/>
    <n v="726955058"/>
    <n v="3.5999999999999997E-2"/>
    <n v="17.850000000000001"/>
    <n v="1.92"/>
    <m/>
    <m/>
    <s v="High Growth"/>
  </r>
  <r>
    <n v="2019"/>
    <n v="7"/>
    <x v="1"/>
    <x v="4"/>
    <n v="6639"/>
    <n v="93747"/>
    <n v="622386333"/>
    <n v="4.2000000000000003E-2"/>
    <n v="17.850000000000001"/>
    <n v="1.92"/>
    <m/>
    <m/>
    <s v="High Growth"/>
  </r>
  <r>
    <n v="2019"/>
    <n v="7"/>
    <x v="1"/>
    <x v="5"/>
    <n v="11099"/>
    <n v="64882"/>
    <n v="720125318"/>
    <n v="5.1999999999999998E-2"/>
    <n v="17.850000000000001"/>
    <n v="1.92"/>
    <m/>
    <m/>
    <s v="High Growth"/>
  </r>
  <r>
    <n v="2019"/>
    <n v="7"/>
    <x v="1"/>
    <x v="6"/>
    <n v="7932"/>
    <n v="75207"/>
    <n v="596541924"/>
    <n v="4.4999999999999998E-2"/>
    <n v="17.850000000000001"/>
    <n v="1.92"/>
    <m/>
    <m/>
    <s v="High Growth"/>
  </r>
  <r>
    <n v="2019"/>
    <n v="7"/>
    <x v="1"/>
    <x v="7"/>
    <n v="6343"/>
    <n v="41311"/>
    <n v="262035673"/>
    <n v="3.5000000000000003E-2"/>
    <n v="17.850000000000001"/>
    <n v="1.92"/>
    <m/>
    <m/>
    <s v="High Growth"/>
  </r>
  <r>
    <n v="2019"/>
    <n v="7"/>
    <x v="2"/>
    <x v="0"/>
    <n v="11377"/>
    <n v="46487"/>
    <n v="528882599"/>
    <n v="3.6999999999999998E-2"/>
    <n v="14.31"/>
    <n v="1.93"/>
    <m/>
    <m/>
    <s v="High Growth"/>
  </r>
  <r>
    <n v="2019"/>
    <n v="7"/>
    <x v="2"/>
    <x v="1"/>
    <n v="8264"/>
    <n v="60845"/>
    <n v="502823080"/>
    <n v="4.7E-2"/>
    <n v="14.31"/>
    <n v="1.93"/>
    <m/>
    <m/>
    <s v="High Growth"/>
  </r>
  <r>
    <n v="2019"/>
    <n v="7"/>
    <x v="2"/>
    <x v="2"/>
    <n v="8578"/>
    <n v="58461"/>
    <n v="501478458"/>
    <n v="3.4000000000000002E-2"/>
    <n v="14.31"/>
    <n v="1.93"/>
    <m/>
    <m/>
    <s v="High Growth"/>
  </r>
  <r>
    <n v="2019"/>
    <n v="7"/>
    <x v="2"/>
    <x v="3"/>
    <n v="3116"/>
    <n v="69160"/>
    <n v="215502560"/>
    <n v="4.1000000000000002E-2"/>
    <n v="14.31"/>
    <n v="1.93"/>
    <m/>
    <m/>
    <s v="High Growth"/>
  </r>
  <r>
    <n v="2019"/>
    <n v="7"/>
    <x v="2"/>
    <x v="4"/>
    <n v="9326"/>
    <n v="90779"/>
    <n v="846604954"/>
    <n v="5.1999999999999998E-2"/>
    <n v="14.31"/>
    <n v="1.93"/>
    <m/>
    <m/>
    <s v="High Growth"/>
  </r>
  <r>
    <n v="2019"/>
    <n v="7"/>
    <x v="2"/>
    <x v="5"/>
    <n v="3675"/>
    <n v="65990"/>
    <n v="242513250"/>
    <n v="4.1000000000000002E-2"/>
    <n v="14.31"/>
    <n v="1.93"/>
    <m/>
    <m/>
    <s v="High Growth"/>
  </r>
  <r>
    <n v="2019"/>
    <n v="7"/>
    <x v="2"/>
    <x v="6"/>
    <n v="9977"/>
    <n v="76709"/>
    <n v="765325693"/>
    <n v="3.3000000000000002E-2"/>
    <n v="14.31"/>
    <n v="1.93"/>
    <m/>
    <m/>
    <s v="High Growth"/>
  </r>
  <r>
    <n v="2019"/>
    <n v="7"/>
    <x v="2"/>
    <x v="7"/>
    <n v="2740"/>
    <n v="43431"/>
    <n v="119000940"/>
    <n v="5.0999999999999997E-2"/>
    <n v="14.31"/>
    <n v="1.93"/>
    <m/>
    <m/>
    <s v="High Growth"/>
  </r>
  <r>
    <n v="2019"/>
    <n v="7"/>
    <x v="3"/>
    <x v="0"/>
    <n v="11046"/>
    <n v="48907"/>
    <n v="540226722"/>
    <n v="3.6999999999999998E-2"/>
    <n v="5.1100000000000003"/>
    <n v="1.71"/>
    <m/>
    <m/>
    <s v="High Growth"/>
  </r>
  <r>
    <n v="2019"/>
    <n v="7"/>
    <x v="3"/>
    <x v="1"/>
    <n v="5907"/>
    <n v="60769"/>
    <n v="358962483"/>
    <n v="5.3999999999999999E-2"/>
    <n v="5.1100000000000003"/>
    <n v="1.71"/>
    <m/>
    <m/>
    <s v="High Growth"/>
  </r>
  <r>
    <n v="2019"/>
    <n v="7"/>
    <x v="3"/>
    <x v="2"/>
    <n v="6906"/>
    <n v="57067"/>
    <n v="394104702"/>
    <n v="3.3000000000000002E-2"/>
    <n v="5.1100000000000003"/>
    <n v="1.71"/>
    <m/>
    <m/>
    <s v="High Growth"/>
  </r>
  <r>
    <n v="2019"/>
    <n v="7"/>
    <x v="3"/>
    <x v="3"/>
    <n v="10912"/>
    <n v="69325"/>
    <n v="756474400"/>
    <n v="4.4999999999999998E-2"/>
    <n v="5.1100000000000003"/>
    <n v="1.71"/>
    <m/>
    <m/>
    <s v="High Growth"/>
  </r>
  <r>
    <n v="2019"/>
    <n v="7"/>
    <x v="3"/>
    <x v="4"/>
    <n v="6119"/>
    <n v="90514"/>
    <n v="553855166"/>
    <n v="5.2999999999999999E-2"/>
    <n v="5.1100000000000003"/>
    <n v="1.71"/>
    <m/>
    <m/>
    <s v="High Growth"/>
  </r>
  <r>
    <n v="2019"/>
    <n v="7"/>
    <x v="3"/>
    <x v="5"/>
    <n v="11149"/>
    <n v="64653"/>
    <n v="720816297"/>
    <n v="5.3999999999999999E-2"/>
    <n v="5.1100000000000003"/>
    <n v="1.71"/>
    <m/>
    <m/>
    <s v="High Growth"/>
  </r>
  <r>
    <n v="2019"/>
    <n v="7"/>
    <x v="3"/>
    <x v="6"/>
    <n v="4467"/>
    <n v="76300"/>
    <n v="340832100"/>
    <n v="5.5E-2"/>
    <n v="5.1100000000000003"/>
    <n v="1.71"/>
    <m/>
    <m/>
    <s v="High Growth"/>
  </r>
  <r>
    <n v="2019"/>
    <n v="7"/>
    <x v="3"/>
    <x v="7"/>
    <n v="8590"/>
    <n v="40361"/>
    <n v="346700990"/>
    <n v="4.7E-2"/>
    <n v="5.1100000000000003"/>
    <n v="1.71"/>
    <m/>
    <m/>
    <s v="High Growth"/>
  </r>
  <r>
    <n v="2019"/>
    <n v="8"/>
    <x v="0"/>
    <x v="0"/>
    <n v="2949"/>
    <n v="49562"/>
    <n v="146158338"/>
    <n v="5.8000000000000003E-2"/>
    <n v="19.190000000000001"/>
    <n v="4.33"/>
    <m/>
    <m/>
    <s v="High Growth"/>
  </r>
  <r>
    <n v="2019"/>
    <n v="8"/>
    <x v="0"/>
    <x v="1"/>
    <n v="4912"/>
    <n v="63081"/>
    <n v="309853872"/>
    <n v="4.1000000000000002E-2"/>
    <n v="19.190000000000001"/>
    <n v="4.33"/>
    <m/>
    <m/>
    <s v="High Growth"/>
  </r>
  <r>
    <n v="2019"/>
    <n v="8"/>
    <x v="0"/>
    <x v="2"/>
    <n v="3843"/>
    <n v="56922"/>
    <n v="218751246"/>
    <n v="5.1999999999999998E-2"/>
    <n v="19.190000000000001"/>
    <n v="4.33"/>
    <m/>
    <m/>
    <s v="High Growth"/>
  </r>
  <r>
    <n v="2019"/>
    <n v="8"/>
    <x v="0"/>
    <x v="3"/>
    <n v="4558"/>
    <n v="68036"/>
    <n v="310108088"/>
    <n v="5.8999999999999997E-2"/>
    <n v="19.190000000000001"/>
    <n v="4.33"/>
    <m/>
    <m/>
    <s v="High Growth"/>
  </r>
  <r>
    <n v="2019"/>
    <n v="8"/>
    <x v="0"/>
    <x v="4"/>
    <n v="4938"/>
    <n v="90313"/>
    <n v="445965594"/>
    <n v="5.7000000000000002E-2"/>
    <n v="19.190000000000001"/>
    <n v="4.33"/>
    <m/>
    <m/>
    <s v="High Growth"/>
  </r>
  <r>
    <n v="2019"/>
    <n v="8"/>
    <x v="0"/>
    <x v="5"/>
    <n v="5462"/>
    <n v="65256"/>
    <n v="356428272"/>
    <n v="4.5999999999999999E-2"/>
    <n v="19.190000000000001"/>
    <n v="4.33"/>
    <m/>
    <m/>
    <s v="High Growth"/>
  </r>
  <r>
    <n v="2019"/>
    <n v="8"/>
    <x v="0"/>
    <x v="6"/>
    <n v="3460"/>
    <n v="76091"/>
    <n v="263274860"/>
    <n v="5.2999999999999999E-2"/>
    <n v="19.190000000000001"/>
    <n v="4.33"/>
    <m/>
    <m/>
    <s v="High Growth"/>
  </r>
  <r>
    <n v="2019"/>
    <n v="8"/>
    <x v="0"/>
    <x v="7"/>
    <n v="5023"/>
    <n v="43983"/>
    <n v="220926609"/>
    <n v="5.2999999999999999E-2"/>
    <n v="19.190000000000001"/>
    <n v="4.33"/>
    <m/>
    <m/>
    <s v="High Growth"/>
  </r>
  <r>
    <n v="2019"/>
    <n v="8"/>
    <x v="1"/>
    <x v="0"/>
    <n v="3546"/>
    <n v="47155"/>
    <n v="167211630"/>
    <n v="4.2000000000000003E-2"/>
    <n v="20.14"/>
    <n v="2.5499999999999998"/>
    <m/>
    <m/>
    <s v="High Growth"/>
  </r>
  <r>
    <n v="2019"/>
    <n v="8"/>
    <x v="1"/>
    <x v="1"/>
    <n v="11482"/>
    <n v="61929"/>
    <n v="711068778"/>
    <n v="3.5999999999999997E-2"/>
    <n v="20.14"/>
    <n v="2.5499999999999998"/>
    <m/>
    <m/>
    <s v="High Growth"/>
  </r>
  <r>
    <n v="2019"/>
    <n v="8"/>
    <x v="1"/>
    <x v="2"/>
    <n v="3437"/>
    <n v="57492"/>
    <n v="197600004"/>
    <n v="2.8000000000000001E-2"/>
    <n v="20.14"/>
    <n v="2.5499999999999998"/>
    <m/>
    <m/>
    <s v="Low Growth"/>
  </r>
  <r>
    <n v="2019"/>
    <n v="8"/>
    <x v="1"/>
    <x v="3"/>
    <n v="4425"/>
    <n v="67870"/>
    <n v="300324750"/>
    <n v="0.06"/>
    <n v="20.14"/>
    <n v="2.5499999999999998"/>
    <m/>
    <m/>
    <s v="High Growth"/>
  </r>
  <r>
    <n v="2019"/>
    <n v="8"/>
    <x v="1"/>
    <x v="4"/>
    <n v="8210"/>
    <n v="92320"/>
    <n v="757947200"/>
    <n v="4.1000000000000002E-2"/>
    <n v="20.14"/>
    <n v="2.5499999999999998"/>
    <m/>
    <m/>
    <s v="High Growth"/>
  </r>
  <r>
    <n v="2019"/>
    <n v="8"/>
    <x v="1"/>
    <x v="5"/>
    <n v="4954"/>
    <n v="66292"/>
    <n v="328410568"/>
    <n v="3.3000000000000002E-2"/>
    <n v="20.14"/>
    <n v="2.5499999999999998"/>
    <m/>
    <m/>
    <s v="High Growth"/>
  </r>
  <r>
    <n v="2019"/>
    <n v="8"/>
    <x v="1"/>
    <x v="6"/>
    <n v="5955"/>
    <n v="74078"/>
    <n v="441134490"/>
    <n v="4.5999999999999999E-2"/>
    <n v="20.14"/>
    <n v="2.5499999999999998"/>
    <m/>
    <m/>
    <s v="High Growth"/>
  </r>
  <r>
    <n v="2019"/>
    <n v="8"/>
    <x v="1"/>
    <x v="7"/>
    <n v="8946"/>
    <n v="42947"/>
    <n v="384203862"/>
    <n v="3.7999999999999999E-2"/>
    <n v="20.14"/>
    <n v="2.5499999999999998"/>
    <m/>
    <m/>
    <s v="High Growth"/>
  </r>
  <r>
    <n v="2019"/>
    <n v="8"/>
    <x v="2"/>
    <x v="0"/>
    <n v="5763"/>
    <n v="46997"/>
    <n v="270843711"/>
    <n v="5.6000000000000001E-2"/>
    <n v="18.2"/>
    <n v="2.98"/>
    <m/>
    <m/>
    <s v="High Growth"/>
  </r>
  <r>
    <n v="2019"/>
    <n v="8"/>
    <x v="2"/>
    <x v="1"/>
    <n v="3294"/>
    <n v="63775"/>
    <n v="210074850"/>
    <n v="3.9E-2"/>
    <n v="18.2"/>
    <n v="2.98"/>
    <m/>
    <m/>
    <s v="High Growth"/>
  </r>
  <r>
    <n v="2019"/>
    <n v="8"/>
    <x v="2"/>
    <x v="2"/>
    <n v="10883"/>
    <n v="58160"/>
    <n v="632955280"/>
    <n v="3.5999999999999997E-2"/>
    <n v="18.2"/>
    <n v="2.98"/>
    <m/>
    <m/>
    <s v="High Growth"/>
  </r>
  <r>
    <n v="2019"/>
    <n v="8"/>
    <x v="2"/>
    <x v="3"/>
    <n v="11642"/>
    <n v="69528"/>
    <n v="809444976"/>
    <n v="4.2000000000000003E-2"/>
    <n v="18.2"/>
    <n v="2.98"/>
    <m/>
    <m/>
    <s v="High Growth"/>
  </r>
  <r>
    <n v="2019"/>
    <n v="8"/>
    <x v="2"/>
    <x v="4"/>
    <n v="3590"/>
    <n v="90475"/>
    <n v="324805250"/>
    <n v="3.9E-2"/>
    <n v="18.2"/>
    <n v="2.98"/>
    <m/>
    <m/>
    <s v="High Growth"/>
  </r>
  <r>
    <n v="2019"/>
    <n v="8"/>
    <x v="2"/>
    <x v="5"/>
    <n v="3443"/>
    <n v="64141"/>
    <n v="220837463"/>
    <n v="4.2999999999999997E-2"/>
    <n v="18.2"/>
    <n v="2.98"/>
    <m/>
    <m/>
    <s v="High Growth"/>
  </r>
  <r>
    <n v="2019"/>
    <n v="8"/>
    <x v="2"/>
    <x v="6"/>
    <n v="3701"/>
    <n v="73398"/>
    <n v="271645998"/>
    <n v="3.2000000000000001E-2"/>
    <n v="18.2"/>
    <n v="2.98"/>
    <m/>
    <m/>
    <s v="High Growth"/>
  </r>
  <r>
    <n v="2019"/>
    <n v="8"/>
    <x v="2"/>
    <x v="7"/>
    <n v="4141"/>
    <n v="41582"/>
    <n v="172191062"/>
    <n v="4.4999999999999998E-2"/>
    <n v="18.2"/>
    <n v="2.98"/>
    <m/>
    <m/>
    <s v="High Growth"/>
  </r>
  <r>
    <n v="2019"/>
    <n v="8"/>
    <x v="3"/>
    <x v="0"/>
    <n v="5842"/>
    <n v="46137"/>
    <n v="269532354"/>
    <n v="4.8000000000000001E-2"/>
    <n v="6.14"/>
    <n v="2.63"/>
    <m/>
    <m/>
    <s v="High Growth"/>
  </r>
  <r>
    <n v="2019"/>
    <n v="8"/>
    <x v="3"/>
    <x v="1"/>
    <n v="4498"/>
    <n v="61794"/>
    <n v="277949412"/>
    <n v="3.1E-2"/>
    <n v="6.14"/>
    <n v="2.63"/>
    <m/>
    <m/>
    <s v="High Growth"/>
  </r>
  <r>
    <n v="2019"/>
    <n v="8"/>
    <x v="3"/>
    <x v="2"/>
    <n v="7405"/>
    <n v="59701"/>
    <n v="442085905"/>
    <n v="5.1999999999999998E-2"/>
    <n v="6.14"/>
    <n v="2.63"/>
    <m/>
    <m/>
    <s v="High Growth"/>
  </r>
  <r>
    <n v="2019"/>
    <n v="8"/>
    <x v="3"/>
    <x v="3"/>
    <n v="5143"/>
    <n v="70920"/>
    <n v="364741560"/>
    <n v="6.2E-2"/>
    <n v="6.14"/>
    <n v="2.63"/>
    <m/>
    <m/>
    <s v="High Growth"/>
  </r>
  <r>
    <n v="2019"/>
    <n v="8"/>
    <x v="3"/>
    <x v="4"/>
    <n v="10456"/>
    <n v="91449"/>
    <n v="956190744"/>
    <n v="4.8000000000000001E-2"/>
    <n v="6.14"/>
    <n v="2.63"/>
    <m/>
    <m/>
    <s v="High Growth"/>
  </r>
  <r>
    <n v="2019"/>
    <n v="8"/>
    <x v="3"/>
    <x v="5"/>
    <n v="10996"/>
    <n v="66373"/>
    <n v="729837508"/>
    <n v="4.3999999999999997E-2"/>
    <n v="6.14"/>
    <n v="2.63"/>
    <m/>
    <m/>
    <s v="High Growth"/>
  </r>
  <r>
    <n v="2019"/>
    <n v="8"/>
    <x v="3"/>
    <x v="6"/>
    <n v="7355"/>
    <n v="76145"/>
    <n v="560046475"/>
    <n v="0.05"/>
    <n v="6.14"/>
    <n v="2.63"/>
    <m/>
    <m/>
    <s v="High Growth"/>
  </r>
  <r>
    <n v="2019"/>
    <n v="8"/>
    <x v="3"/>
    <x v="7"/>
    <n v="11150"/>
    <n v="42308"/>
    <n v="471734200"/>
    <n v="0.04"/>
    <n v="6.14"/>
    <n v="2.63"/>
    <m/>
    <m/>
    <s v="High Growth"/>
  </r>
  <r>
    <n v="2019"/>
    <n v="9"/>
    <x v="0"/>
    <x v="0"/>
    <n v="11286"/>
    <n v="49384"/>
    <n v="557347824"/>
    <n v="1.6E-2"/>
    <n v="14.35"/>
    <n v="3.91"/>
    <m/>
    <m/>
    <s v="Low Growth"/>
  </r>
  <r>
    <n v="2019"/>
    <n v="9"/>
    <x v="0"/>
    <x v="1"/>
    <n v="3608"/>
    <n v="61851"/>
    <n v="223158408"/>
    <n v="4.2999999999999997E-2"/>
    <n v="14.35"/>
    <n v="3.91"/>
    <m/>
    <m/>
    <s v="High Growth"/>
  </r>
  <r>
    <n v="2019"/>
    <n v="9"/>
    <x v="0"/>
    <x v="2"/>
    <n v="11365"/>
    <n v="57687"/>
    <n v="655612755"/>
    <n v="4.9000000000000002E-2"/>
    <n v="14.35"/>
    <n v="3.91"/>
    <m/>
    <m/>
    <s v="High Growth"/>
  </r>
  <r>
    <n v="2019"/>
    <n v="9"/>
    <x v="0"/>
    <x v="3"/>
    <n v="10613"/>
    <n v="69973"/>
    <n v="742623449"/>
    <n v="3.9E-2"/>
    <n v="14.35"/>
    <n v="3.91"/>
    <m/>
    <m/>
    <s v="High Growth"/>
  </r>
  <r>
    <n v="2019"/>
    <n v="9"/>
    <x v="0"/>
    <x v="4"/>
    <n v="4453"/>
    <n v="91243"/>
    <n v="406305079"/>
    <n v="4.3999999999999997E-2"/>
    <n v="14.35"/>
    <n v="3.91"/>
    <m/>
    <m/>
    <s v="High Growth"/>
  </r>
  <r>
    <n v="2019"/>
    <n v="9"/>
    <x v="0"/>
    <x v="5"/>
    <n v="8495"/>
    <n v="63162"/>
    <n v="536561190"/>
    <n v="4.2999999999999997E-2"/>
    <n v="14.35"/>
    <n v="3.91"/>
    <m/>
    <m/>
    <s v="High Growth"/>
  </r>
  <r>
    <n v="2019"/>
    <n v="9"/>
    <x v="0"/>
    <x v="6"/>
    <n v="5069"/>
    <n v="76919"/>
    <n v="389902411"/>
    <n v="4.2999999999999997E-2"/>
    <n v="14.35"/>
    <n v="3.91"/>
    <m/>
    <m/>
    <s v="High Growth"/>
  </r>
  <r>
    <n v="2019"/>
    <n v="9"/>
    <x v="0"/>
    <x v="7"/>
    <n v="5114"/>
    <n v="41641"/>
    <n v="212952074"/>
    <n v="4.9000000000000002E-2"/>
    <n v="14.35"/>
    <n v="3.91"/>
    <m/>
    <m/>
    <s v="High Growth"/>
  </r>
  <r>
    <n v="2019"/>
    <n v="9"/>
    <x v="1"/>
    <x v="0"/>
    <n v="8890"/>
    <n v="49590"/>
    <n v="440855100"/>
    <n v="2.1000000000000001E-2"/>
    <n v="15.09"/>
    <n v="2.52"/>
    <m/>
    <m/>
    <s v="Low Growth"/>
  </r>
  <r>
    <n v="2019"/>
    <n v="9"/>
    <x v="1"/>
    <x v="1"/>
    <n v="3592"/>
    <n v="63831"/>
    <n v="229280952"/>
    <n v="5.3999999999999999E-2"/>
    <n v="15.09"/>
    <n v="2.52"/>
    <m/>
    <m/>
    <s v="High Growth"/>
  </r>
  <r>
    <n v="2019"/>
    <n v="9"/>
    <x v="1"/>
    <x v="2"/>
    <n v="4159"/>
    <n v="59959"/>
    <n v="249369481"/>
    <n v="5.7000000000000002E-2"/>
    <n v="15.09"/>
    <n v="2.52"/>
    <m/>
    <m/>
    <s v="High Growth"/>
  </r>
  <r>
    <n v="2019"/>
    <n v="9"/>
    <x v="1"/>
    <x v="3"/>
    <n v="9953"/>
    <n v="68336"/>
    <n v="680148208"/>
    <n v="4.1000000000000002E-2"/>
    <n v="15.09"/>
    <n v="2.52"/>
    <m/>
    <m/>
    <s v="High Growth"/>
  </r>
  <r>
    <n v="2019"/>
    <n v="9"/>
    <x v="1"/>
    <x v="4"/>
    <n v="7659"/>
    <n v="93031"/>
    <n v="712524429"/>
    <n v="3.4000000000000002E-2"/>
    <n v="15.09"/>
    <n v="2.52"/>
    <m/>
    <m/>
    <s v="High Growth"/>
  </r>
  <r>
    <n v="2019"/>
    <n v="9"/>
    <x v="1"/>
    <x v="5"/>
    <n v="5028"/>
    <n v="63370"/>
    <n v="318624360"/>
    <n v="5.0999999999999997E-2"/>
    <n v="15.09"/>
    <n v="2.52"/>
    <m/>
    <m/>
    <s v="High Growth"/>
  </r>
  <r>
    <n v="2019"/>
    <n v="9"/>
    <x v="1"/>
    <x v="6"/>
    <n v="9603"/>
    <n v="76064"/>
    <n v="730442592"/>
    <n v="3.9E-2"/>
    <n v="15.09"/>
    <n v="2.52"/>
    <m/>
    <m/>
    <s v="High Growth"/>
  </r>
  <r>
    <n v="2019"/>
    <n v="9"/>
    <x v="1"/>
    <x v="7"/>
    <n v="3508"/>
    <n v="43062"/>
    <n v="151061496"/>
    <n v="6.0999999999999999E-2"/>
    <n v="15.09"/>
    <n v="2.52"/>
    <m/>
    <m/>
    <s v="High Growth"/>
  </r>
  <r>
    <n v="2019"/>
    <n v="9"/>
    <x v="2"/>
    <x v="0"/>
    <n v="9824"/>
    <n v="49669"/>
    <n v="487948256"/>
    <n v="4.2000000000000003E-2"/>
    <n v="15.59"/>
    <n v="3.37"/>
    <m/>
    <m/>
    <s v="High Growth"/>
  </r>
  <r>
    <n v="2019"/>
    <n v="9"/>
    <x v="2"/>
    <x v="1"/>
    <n v="8071"/>
    <n v="61633"/>
    <n v="497439943"/>
    <n v="4.7E-2"/>
    <n v="15.59"/>
    <n v="3.37"/>
    <m/>
    <m/>
    <s v="High Growth"/>
  </r>
  <r>
    <n v="2019"/>
    <n v="9"/>
    <x v="2"/>
    <x v="2"/>
    <n v="4551"/>
    <n v="56852"/>
    <n v="258733452"/>
    <n v="3.4000000000000002E-2"/>
    <n v="15.59"/>
    <n v="3.37"/>
    <m/>
    <m/>
    <s v="High Growth"/>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2018"/>
    <n v="1"/>
    <s v="Europe"/>
    <s v="3 Series"/>
    <n v="7822"/>
    <n v="47482"/>
    <n v="371404204"/>
    <n v="1.0999999999999999E-2"/>
    <n v="19.12"/>
    <n v="3.5"/>
    <n v="504226100"/>
    <n v="504226100"/>
    <s v="Low Growth"/>
    <n v="56325491359"/>
    <x v="0"/>
  </r>
  <r>
    <n v="2018"/>
    <n v="1"/>
    <s v="Europe"/>
    <s v="5 Series"/>
    <n v="10280"/>
    <n v="61685"/>
    <n v="634121800"/>
    <n v="1.9E-2"/>
    <n v="19.12"/>
    <n v="3.5"/>
    <m/>
    <m/>
    <s v="Low Growth"/>
    <n v="56325491359"/>
    <x v="0"/>
  </r>
  <r>
    <n v="2018"/>
    <n v="1"/>
    <s v="Europe"/>
    <s v="X3"/>
    <n v="3105"/>
    <n v="58433"/>
    <n v="181434465"/>
    <n v="2.1999999999999999E-2"/>
    <n v="19.12"/>
    <n v="3.5"/>
    <m/>
    <m/>
    <s v="Low Growth"/>
    <n v="56325491359"/>
    <x v="0"/>
  </r>
  <r>
    <n v="2018"/>
    <n v="1"/>
    <s v="Europe"/>
    <s v="X5"/>
    <n v="7420"/>
    <n v="67955"/>
    <n v="504226100"/>
    <n v="2.1000000000000001E-2"/>
    <n v="19.12"/>
    <n v="3.5"/>
    <m/>
    <m/>
    <s v="Low Growth"/>
    <n v="56325491359"/>
    <x v="0"/>
  </r>
  <r>
    <n v="2018"/>
    <n v="1"/>
    <s v="Europe"/>
    <s v="X7"/>
    <n v="8474"/>
    <n v="92300"/>
    <n v="782150200"/>
    <n v="3.5000000000000003E-2"/>
    <n v="19.12"/>
    <n v="3.5"/>
    <m/>
    <m/>
    <s v="High Growth"/>
    <n v="56325491359"/>
    <x v="0"/>
  </r>
  <r>
    <n v="2018"/>
    <n v="1"/>
    <s v="Europe"/>
    <s v="i4"/>
    <n v="10607"/>
    <n v="64082"/>
    <n v="679717774"/>
    <n v="3.5000000000000003E-2"/>
    <n v="19.12"/>
    <n v="3.5"/>
    <m/>
    <m/>
    <s v="High Growth"/>
    <n v="56325491359"/>
    <x v="0"/>
  </r>
  <r>
    <n v="2018"/>
    <n v="1"/>
    <s v="Europe"/>
    <s v="iX"/>
    <n v="4805"/>
    <n v="73975"/>
    <n v="355449875"/>
    <n v="1.6E-2"/>
    <n v="19.12"/>
    <n v="3.5"/>
    <m/>
    <m/>
    <s v="Low Growth"/>
    <n v="56325491359"/>
    <x v="0"/>
  </r>
  <r>
    <n v="2018"/>
    <n v="1"/>
    <s v="Europe"/>
    <s v="MINI"/>
    <n v="2554"/>
    <n v="43005"/>
    <n v="109834770"/>
    <n v="1.2999999999999999E-2"/>
    <n v="19.12"/>
    <n v="3.5"/>
    <m/>
    <m/>
    <s v="Low Growth"/>
    <n v="56325491359"/>
    <x v="0"/>
  </r>
  <r>
    <n v="2018"/>
    <n v="1"/>
    <s v="China"/>
    <s v="3 Series"/>
    <n v="3826"/>
    <n v="48068"/>
    <n v="183908168"/>
    <n v="2.1000000000000001E-2"/>
    <n v="17.600000000000001"/>
    <n v="2.37"/>
    <m/>
    <m/>
    <s v="Low Growth"/>
    <n v="58905926051"/>
    <x v="0"/>
  </r>
  <r>
    <n v="2018"/>
    <n v="1"/>
    <s v="China"/>
    <s v="5 Series"/>
    <n v="7498"/>
    <n v="62435"/>
    <n v="468137630"/>
    <n v="1.4999999999999999E-2"/>
    <n v="17.600000000000001"/>
    <n v="2.37"/>
    <m/>
    <m/>
    <s v="Low Growth"/>
    <n v="58905926051"/>
    <x v="0"/>
  </r>
  <r>
    <n v="2018"/>
    <n v="1"/>
    <s v="China"/>
    <s v="X3"/>
    <n v="10727"/>
    <n v="57363"/>
    <n v="615332901"/>
    <n v="1.4E-2"/>
    <n v="17.600000000000001"/>
    <n v="2.37"/>
    <m/>
    <m/>
    <s v="Low Growth"/>
    <n v="58905926051"/>
    <x v="0"/>
  </r>
  <r>
    <n v="2018"/>
    <n v="1"/>
    <s v="China"/>
    <s v="X5"/>
    <n v="8298"/>
    <n v="68390"/>
    <n v="567500220"/>
    <n v="1.7000000000000001E-2"/>
    <n v="17.600000000000001"/>
    <n v="2.37"/>
    <m/>
    <m/>
    <s v="Low Growth"/>
    <n v="58905926051"/>
    <x v="0"/>
  </r>
  <r>
    <n v="2018"/>
    <n v="1"/>
    <s v="China"/>
    <s v="X7"/>
    <n v="9119"/>
    <n v="90034"/>
    <n v="821020046"/>
    <n v="0.02"/>
    <n v="17.600000000000001"/>
    <n v="2.37"/>
    <m/>
    <m/>
    <s v="Low Growth"/>
    <n v="58905926051"/>
    <x v="0"/>
  </r>
  <r>
    <n v="2018"/>
    <n v="1"/>
    <s v="China"/>
    <s v="i4"/>
    <n v="5369"/>
    <n v="64955"/>
    <n v="348743395"/>
    <n v="8.9999999999999993E-3"/>
    <n v="17.600000000000001"/>
    <n v="2.37"/>
    <m/>
    <m/>
    <s v="Low Growth"/>
    <n v="58905926051"/>
    <x v="0"/>
  </r>
  <r>
    <n v="2018"/>
    <n v="1"/>
    <s v="China"/>
    <s v="iX"/>
    <n v="3880"/>
    <n v="76461"/>
    <n v="296668680"/>
    <n v="7.0000000000000001E-3"/>
    <n v="17.600000000000001"/>
    <n v="2.37"/>
    <m/>
    <m/>
    <s v="Low Growth"/>
    <n v="58905926051"/>
    <x v="0"/>
  </r>
  <r>
    <n v="2018"/>
    <n v="1"/>
    <s v="China"/>
    <s v="MINI"/>
    <n v="6025"/>
    <n v="43893"/>
    <n v="264455325"/>
    <n v="3.1E-2"/>
    <n v="17.600000000000001"/>
    <n v="2.37"/>
    <m/>
    <m/>
    <s v="High Growth"/>
    <n v="58905926051"/>
    <x v="0"/>
  </r>
  <r>
    <n v="2018"/>
    <n v="1"/>
    <s v="USA"/>
    <s v="3 Series"/>
    <n v="9622"/>
    <n v="46337"/>
    <n v="445854614"/>
    <n v="0.01"/>
    <n v="20.49"/>
    <n v="0.82"/>
    <m/>
    <m/>
    <s v="Low Growth"/>
    <n v="54599997295"/>
    <x v="0"/>
  </r>
  <r>
    <n v="2018"/>
    <n v="1"/>
    <s v="USA"/>
    <s v="5 Series"/>
    <n v="3209"/>
    <n v="61076"/>
    <n v="195992884"/>
    <n v="4.0000000000000001E-3"/>
    <n v="20.49"/>
    <n v="0.82"/>
    <m/>
    <m/>
    <s v="Low Growth"/>
    <n v="54599997295"/>
    <x v="0"/>
  </r>
  <r>
    <n v="2018"/>
    <n v="1"/>
    <s v="USA"/>
    <s v="X3"/>
    <n v="7017"/>
    <n v="56379"/>
    <n v="395611443"/>
    <n v="7.0000000000000001E-3"/>
    <n v="20.49"/>
    <n v="0.82"/>
    <m/>
    <m/>
    <s v="Low Growth"/>
    <n v="54599997295"/>
    <x v="0"/>
  </r>
  <r>
    <n v="2018"/>
    <n v="1"/>
    <s v="USA"/>
    <s v="X5"/>
    <n v="10624"/>
    <n v="70112"/>
    <n v="744869888"/>
    <n v="1.0999999999999999E-2"/>
    <n v="20.49"/>
    <n v="0.82"/>
    <m/>
    <m/>
    <s v="Low Growth"/>
    <n v="54599997295"/>
    <x v="0"/>
  </r>
  <r>
    <n v="2018"/>
    <n v="1"/>
    <s v="USA"/>
    <s v="X7"/>
    <n v="7387"/>
    <n v="91698"/>
    <n v="677373126"/>
    <n v="2.5999999999999999E-2"/>
    <n v="20.49"/>
    <n v="0.82"/>
    <m/>
    <m/>
    <s v="Low Growth"/>
    <n v="54599997295"/>
    <x v="0"/>
  </r>
  <r>
    <n v="2018"/>
    <n v="1"/>
    <s v="USA"/>
    <s v="i4"/>
    <n v="7972"/>
    <n v="66561"/>
    <n v="530624292"/>
    <n v="2.9000000000000001E-2"/>
    <n v="20.49"/>
    <n v="0.82"/>
    <m/>
    <m/>
    <s v="Low Growth"/>
    <n v="54599997295"/>
    <x v="0"/>
  </r>
  <r>
    <n v="2018"/>
    <n v="1"/>
    <s v="USA"/>
    <s v="iX"/>
    <n v="8249"/>
    <n v="73502"/>
    <n v="606317998"/>
    <n v="1.0999999999999999E-2"/>
    <n v="20.49"/>
    <n v="0.82"/>
    <m/>
    <m/>
    <s v="Low Growth"/>
    <n v="54599997295"/>
    <x v="0"/>
  </r>
  <r>
    <n v="2018"/>
    <n v="1"/>
    <s v="USA"/>
    <s v="MINI"/>
    <n v="4706"/>
    <n v="43645"/>
    <n v="205393370"/>
    <n v="1.9E-2"/>
    <n v="20.49"/>
    <n v="0.82"/>
    <m/>
    <m/>
    <s v="Low Growth"/>
    <n v="54599997295"/>
    <x v="0"/>
  </r>
  <r>
    <n v="2018"/>
    <n v="1"/>
    <s v="RestOfWorld"/>
    <s v="3 Series"/>
    <n v="10121"/>
    <n v="47485"/>
    <n v="480595685"/>
    <n v="0"/>
    <n v="6.28"/>
    <n v="4.18"/>
    <m/>
    <m/>
    <s v="Low Growth"/>
    <n v="55528754190"/>
    <x v="0"/>
  </r>
  <r>
    <n v="2018"/>
    <n v="1"/>
    <s v="RestOfWorld"/>
    <s v="5 Series"/>
    <n v="6023"/>
    <n v="61028"/>
    <n v="367571644"/>
    <n v="3.1E-2"/>
    <n v="6.28"/>
    <n v="4.18"/>
    <m/>
    <m/>
    <s v="High Growth"/>
    <n v="55528754190"/>
    <x v="0"/>
  </r>
  <r>
    <n v="2018"/>
    <n v="1"/>
    <s v="RestOfWorld"/>
    <s v="X3"/>
    <n v="9390"/>
    <n v="58842"/>
    <n v="552526380"/>
    <n v="1.2E-2"/>
    <n v="6.28"/>
    <n v="4.18"/>
    <m/>
    <m/>
    <s v="Low Growth"/>
    <n v="55528754190"/>
    <x v="0"/>
  </r>
  <r>
    <n v="2018"/>
    <n v="1"/>
    <s v="RestOfWorld"/>
    <s v="X5"/>
    <n v="6638"/>
    <n v="67206"/>
    <n v="446113428"/>
    <n v="1.2E-2"/>
    <n v="6.28"/>
    <n v="4.18"/>
    <m/>
    <m/>
    <s v="Low Growth"/>
    <n v="55528754190"/>
    <x v="0"/>
  </r>
  <r>
    <n v="2018"/>
    <n v="1"/>
    <s v="RestOfWorld"/>
    <s v="X7"/>
    <n v="7252"/>
    <n v="93762"/>
    <n v="679962024"/>
    <n v="1.7999999999999999E-2"/>
    <n v="6.28"/>
    <n v="4.18"/>
    <m/>
    <m/>
    <s v="Low Growth"/>
    <n v="55528754190"/>
    <x v="0"/>
  </r>
  <r>
    <n v="2018"/>
    <n v="1"/>
    <s v="RestOfWorld"/>
    <s v="i4"/>
    <n v="3194"/>
    <n v="65790"/>
    <n v="210133260"/>
    <n v="0.01"/>
    <n v="6.28"/>
    <n v="4.18"/>
    <m/>
    <m/>
    <s v="Low Growth"/>
    <n v="55528754190"/>
    <x v="0"/>
  </r>
  <r>
    <n v="2018"/>
    <n v="1"/>
    <s v="RestOfWorld"/>
    <s v="iX"/>
    <n v="9412"/>
    <n v="74757"/>
    <n v="703612884"/>
    <n v="2.1000000000000001E-2"/>
    <n v="6.28"/>
    <n v="4.18"/>
    <m/>
    <m/>
    <s v="Low Growth"/>
    <n v="55528754190"/>
    <x v="0"/>
  </r>
  <r>
    <n v="2018"/>
    <n v="1"/>
    <s v="RestOfWorld"/>
    <s v="MINI"/>
    <n v="9570"/>
    <n v="42278"/>
    <n v="404600460"/>
    <n v="0"/>
    <n v="6.28"/>
    <n v="4.18"/>
    <m/>
    <m/>
    <s v="Low Growth"/>
    <n v="55528754190"/>
    <x v="0"/>
  </r>
  <r>
    <n v="2018"/>
    <n v="5"/>
    <s v="Europe"/>
    <s v="3 Series"/>
    <n v="5143"/>
    <n v="47365"/>
    <n v="243598195"/>
    <n v="3.3000000000000002E-2"/>
    <n v="19.260000000000002"/>
    <n v="2.78"/>
    <m/>
    <m/>
    <s v="High Growth"/>
    <n v="56325491359"/>
    <x v="1"/>
  </r>
  <r>
    <n v="2018"/>
    <n v="5"/>
    <s v="Europe"/>
    <s v="5 Series"/>
    <n v="6642"/>
    <n v="60698"/>
    <n v="403156116"/>
    <n v="0.02"/>
    <n v="19.260000000000002"/>
    <n v="2.78"/>
    <m/>
    <m/>
    <s v="Low Growth"/>
    <n v="56325491359"/>
    <x v="1"/>
  </r>
  <r>
    <n v="2018"/>
    <n v="5"/>
    <s v="Europe"/>
    <s v="X3"/>
    <n v="9201"/>
    <n v="59455"/>
    <n v="547045455"/>
    <n v="2.3E-2"/>
    <n v="19.260000000000002"/>
    <n v="2.78"/>
    <m/>
    <m/>
    <s v="Low Growth"/>
    <n v="56325491359"/>
    <x v="1"/>
  </r>
  <r>
    <n v="2018"/>
    <n v="5"/>
    <s v="Europe"/>
    <s v="X5"/>
    <n v="7073"/>
    <n v="70577"/>
    <n v="499191121"/>
    <n v="1.9E-2"/>
    <n v="19.260000000000002"/>
    <n v="2.78"/>
    <m/>
    <m/>
    <s v="Low Growth"/>
    <n v="56325491359"/>
    <x v="1"/>
  </r>
  <r>
    <n v="2018"/>
    <n v="5"/>
    <s v="Europe"/>
    <s v="X7"/>
    <n v="7586"/>
    <n v="91492"/>
    <n v="694058312"/>
    <n v="3.1E-2"/>
    <n v="19.260000000000002"/>
    <n v="2.78"/>
    <m/>
    <m/>
    <s v="High Growth"/>
    <n v="56325491359"/>
    <x v="1"/>
  </r>
  <r>
    <n v="2018"/>
    <n v="5"/>
    <s v="Europe"/>
    <s v="i4"/>
    <n v="9643"/>
    <n v="66636"/>
    <n v="642570948"/>
    <n v="4.1000000000000002E-2"/>
    <n v="19.260000000000002"/>
    <n v="2.78"/>
    <m/>
    <m/>
    <s v="High Growth"/>
    <n v="56325491359"/>
    <x v="1"/>
  </r>
  <r>
    <n v="2018"/>
    <n v="5"/>
    <s v="Europe"/>
    <s v="iX"/>
    <n v="3483"/>
    <n v="76294"/>
    <n v="265732002"/>
    <n v="1.2999999999999999E-2"/>
    <n v="19.260000000000002"/>
    <n v="2.78"/>
    <m/>
    <m/>
    <s v="Low Growth"/>
    <n v="56325491359"/>
    <x v="1"/>
  </r>
  <r>
    <n v="2018"/>
    <n v="5"/>
    <s v="Europe"/>
    <s v="MINI"/>
    <n v="6867"/>
    <n v="41156"/>
    <n v="282618252"/>
    <n v="0.02"/>
    <n v="19.260000000000002"/>
    <n v="2.78"/>
    <m/>
    <m/>
    <s v="Low Growth"/>
    <n v="56325491359"/>
    <x v="1"/>
  </r>
  <r>
    <n v="2018"/>
    <n v="5"/>
    <s v="China"/>
    <s v="3 Series"/>
    <n v="6978"/>
    <n v="48539"/>
    <n v="338705142"/>
    <n v="2.4E-2"/>
    <n v="18.940000000000001"/>
    <n v="3.32"/>
    <m/>
    <m/>
    <s v="Low Growth"/>
    <n v="58905926051"/>
    <x v="1"/>
  </r>
  <r>
    <n v="2018"/>
    <n v="5"/>
    <s v="China"/>
    <s v="5 Series"/>
    <n v="9078"/>
    <n v="63324"/>
    <n v="574855272"/>
    <n v="1.4E-2"/>
    <n v="18.940000000000001"/>
    <n v="3.32"/>
    <m/>
    <m/>
    <s v="Low Growth"/>
    <n v="58905926051"/>
    <x v="1"/>
  </r>
  <r>
    <n v="2018"/>
    <n v="5"/>
    <s v="China"/>
    <s v="X3"/>
    <n v="3839"/>
    <n v="57416"/>
    <n v="220420024"/>
    <n v="6.0000000000000001E-3"/>
    <n v="18.940000000000001"/>
    <n v="3.32"/>
    <m/>
    <m/>
    <s v="Low Growth"/>
    <n v="58905926051"/>
    <x v="1"/>
  </r>
  <r>
    <n v="2018"/>
    <n v="5"/>
    <s v="China"/>
    <s v="X5"/>
    <n v="8966"/>
    <n v="69681"/>
    <n v="624759846"/>
    <n v="1.6E-2"/>
    <n v="18.940000000000001"/>
    <n v="3.32"/>
    <m/>
    <m/>
    <s v="Low Growth"/>
    <n v="58905926051"/>
    <x v="1"/>
  </r>
  <r>
    <n v="2018"/>
    <n v="5"/>
    <s v="China"/>
    <s v="X7"/>
    <n v="11313"/>
    <n v="90510"/>
    <n v="1023939630"/>
    <n v="3.2000000000000001E-2"/>
    <n v="18.940000000000001"/>
    <n v="3.32"/>
    <m/>
    <m/>
    <s v="High Growth"/>
    <n v="58905926051"/>
    <x v="1"/>
  </r>
  <r>
    <n v="2018"/>
    <n v="5"/>
    <s v="China"/>
    <s v="i4"/>
    <n v="9494"/>
    <n v="63216"/>
    <n v="600172704"/>
    <n v="1.4999999999999999E-2"/>
    <n v="18.940000000000001"/>
    <n v="3.32"/>
    <m/>
    <m/>
    <s v="Low Growth"/>
    <n v="58905926051"/>
    <x v="1"/>
  </r>
  <r>
    <n v="2018"/>
    <n v="5"/>
    <s v="China"/>
    <s v="iX"/>
    <n v="3632"/>
    <n v="76486"/>
    <n v="277797152"/>
    <n v="1.2999999999999999E-2"/>
    <n v="18.940000000000001"/>
    <n v="3.32"/>
    <m/>
    <m/>
    <s v="Low Growth"/>
    <n v="58905926051"/>
    <x v="1"/>
  </r>
  <r>
    <n v="2018"/>
    <n v="5"/>
    <s v="China"/>
    <s v="MINI"/>
    <n v="4094"/>
    <n v="42492"/>
    <n v="173962248"/>
    <n v="3.4000000000000002E-2"/>
    <n v="18.940000000000001"/>
    <n v="3.32"/>
    <m/>
    <m/>
    <s v="High Growth"/>
    <n v="58905926051"/>
    <x v="1"/>
  </r>
  <r>
    <n v="2018"/>
    <n v="5"/>
    <s v="USA"/>
    <s v="3 Series"/>
    <n v="6429"/>
    <n v="47081"/>
    <n v="302683749"/>
    <n v="0.02"/>
    <n v="15.74"/>
    <n v="4.4800000000000004"/>
    <m/>
    <m/>
    <s v="Low Growth"/>
    <n v="54599997295"/>
    <x v="1"/>
  </r>
  <r>
    <n v="2018"/>
    <n v="5"/>
    <s v="USA"/>
    <s v="5 Series"/>
    <n v="8663"/>
    <n v="60455"/>
    <n v="523721665"/>
    <n v="1.7000000000000001E-2"/>
    <n v="15.74"/>
    <n v="4.4800000000000004"/>
    <m/>
    <m/>
    <s v="Low Growth"/>
    <n v="54599997295"/>
    <x v="1"/>
  </r>
  <r>
    <n v="2018"/>
    <n v="5"/>
    <s v="USA"/>
    <s v="X3"/>
    <n v="11006"/>
    <n v="57996"/>
    <n v="638303976"/>
    <n v="3.3000000000000002E-2"/>
    <n v="15.74"/>
    <n v="4.4800000000000004"/>
    <m/>
    <m/>
    <s v="High Growth"/>
    <n v="54599997295"/>
    <x v="1"/>
  </r>
  <r>
    <n v="2018"/>
    <n v="5"/>
    <s v="USA"/>
    <s v="X5"/>
    <n v="2853"/>
    <n v="68214"/>
    <n v="194614542"/>
    <n v="2.8000000000000001E-2"/>
    <n v="15.74"/>
    <n v="4.4800000000000004"/>
    <m/>
    <m/>
    <s v="Low Growth"/>
    <n v="54599997295"/>
    <x v="1"/>
  </r>
  <r>
    <n v="2018"/>
    <n v="5"/>
    <s v="USA"/>
    <s v="X7"/>
    <n v="3829"/>
    <n v="90933"/>
    <n v="348182457"/>
    <n v="2.7E-2"/>
    <n v="15.74"/>
    <n v="4.4800000000000004"/>
    <m/>
    <m/>
    <s v="Low Growth"/>
    <n v="54599997295"/>
    <x v="1"/>
  </r>
  <r>
    <n v="2018"/>
    <n v="5"/>
    <s v="USA"/>
    <s v="i4"/>
    <n v="2501"/>
    <n v="65105"/>
    <n v="162827605"/>
    <n v="1.6E-2"/>
    <n v="15.74"/>
    <n v="4.4800000000000004"/>
    <m/>
    <m/>
    <s v="Low Growth"/>
    <n v="54599997295"/>
    <x v="1"/>
  </r>
  <r>
    <n v="2018"/>
    <n v="5"/>
    <s v="USA"/>
    <s v="iX"/>
    <n v="5820"/>
    <n v="73814"/>
    <n v="429597480"/>
    <n v="0.02"/>
    <n v="15.74"/>
    <n v="4.4800000000000004"/>
    <m/>
    <m/>
    <s v="Low Growth"/>
    <n v="54599997295"/>
    <x v="1"/>
  </r>
  <r>
    <n v="2018"/>
    <n v="5"/>
    <s v="USA"/>
    <s v="MINI"/>
    <n v="6341"/>
    <n v="42933"/>
    <n v="272238153"/>
    <n v="2.4E-2"/>
    <n v="15.74"/>
    <n v="4.4800000000000004"/>
    <m/>
    <m/>
    <s v="Low Growth"/>
    <n v="54599997295"/>
    <x v="1"/>
  </r>
  <r>
    <n v="2018"/>
    <n v="5"/>
    <s v="RestOfWorld"/>
    <s v="3 Series"/>
    <n v="8255"/>
    <n v="49486"/>
    <n v="408506930"/>
    <n v="3.5000000000000003E-2"/>
    <n v="5.15"/>
    <n v="3.84"/>
    <m/>
    <m/>
    <s v="High Growth"/>
    <n v="55528754190"/>
    <x v="1"/>
  </r>
  <r>
    <n v="2018"/>
    <n v="5"/>
    <s v="RestOfWorld"/>
    <s v="5 Series"/>
    <n v="5779"/>
    <n v="61396"/>
    <n v="354807484"/>
    <n v="0.03"/>
    <n v="5.15"/>
    <n v="3.84"/>
    <m/>
    <m/>
    <s v="Low Growth"/>
    <n v="55528754190"/>
    <x v="1"/>
  </r>
  <r>
    <n v="2018"/>
    <n v="5"/>
    <s v="RestOfWorld"/>
    <s v="X3"/>
    <n v="10025"/>
    <n v="59018"/>
    <n v="591655450"/>
    <n v="3.4000000000000002E-2"/>
    <n v="5.15"/>
    <n v="3.84"/>
    <m/>
    <m/>
    <s v="High Growth"/>
    <n v="55528754190"/>
    <x v="1"/>
  </r>
  <r>
    <n v="2018"/>
    <n v="5"/>
    <s v="RestOfWorld"/>
    <s v="X5"/>
    <n v="3660"/>
    <n v="69783"/>
    <n v="255405780"/>
    <n v="1.2999999999999999E-2"/>
    <n v="5.15"/>
    <n v="3.84"/>
    <m/>
    <m/>
    <s v="Low Growth"/>
    <n v="55528754190"/>
    <x v="1"/>
  </r>
  <r>
    <n v="2018"/>
    <n v="5"/>
    <s v="RestOfWorld"/>
    <s v="X7"/>
    <n v="7184"/>
    <n v="90372"/>
    <n v="649232448"/>
    <n v="1.0999999999999999E-2"/>
    <n v="5.15"/>
    <n v="3.84"/>
    <m/>
    <m/>
    <s v="Low Growth"/>
    <n v="55528754190"/>
    <x v="1"/>
  </r>
  <r>
    <n v="2018"/>
    <n v="5"/>
    <s v="RestOfWorld"/>
    <s v="i4"/>
    <n v="11245"/>
    <n v="64371"/>
    <n v="723851895"/>
    <n v="1.7999999999999999E-2"/>
    <n v="5.15"/>
    <n v="3.84"/>
    <m/>
    <m/>
    <s v="Low Growth"/>
    <n v="55528754190"/>
    <x v="1"/>
  </r>
  <r>
    <n v="2018"/>
    <n v="5"/>
    <s v="RestOfWorld"/>
    <s v="iX"/>
    <n v="8853"/>
    <n v="76249"/>
    <n v="675032397"/>
    <n v="-1E-3"/>
    <n v="5.15"/>
    <n v="3.84"/>
    <m/>
    <m/>
    <s v="Low Growth"/>
    <n v="55528754190"/>
    <x v="1"/>
  </r>
  <r>
    <n v="2018"/>
    <n v="5"/>
    <s v="RestOfWorld"/>
    <s v="MINI"/>
    <n v="2887"/>
    <n v="42779"/>
    <n v="123502973"/>
    <n v="1.4999999999999999E-2"/>
    <n v="5.15"/>
    <n v="3.84"/>
    <m/>
    <m/>
    <s v="Low Growth"/>
    <n v="55528754190"/>
    <x v="1"/>
  </r>
  <r>
    <n v="2018"/>
    <n v="6"/>
    <s v="Europe"/>
    <s v="3 Series"/>
    <n v="10562"/>
    <n v="49795"/>
    <n v="525934790"/>
    <n v="1E-3"/>
    <n v="17.170000000000002"/>
    <n v="1.67"/>
    <m/>
    <m/>
    <s v="Low Growth"/>
    <n v="56325491359"/>
    <x v="2"/>
  </r>
  <r>
    <n v="2018"/>
    <n v="6"/>
    <s v="Europe"/>
    <s v="5 Series"/>
    <n v="5806"/>
    <n v="62799"/>
    <n v="364610994"/>
    <n v="2.4E-2"/>
    <n v="17.170000000000002"/>
    <n v="1.67"/>
    <m/>
    <m/>
    <s v="Low Growth"/>
    <n v="56325491359"/>
    <x v="2"/>
  </r>
  <r>
    <n v="2018"/>
    <n v="6"/>
    <s v="Europe"/>
    <s v="X3"/>
    <n v="3766"/>
    <n v="56708"/>
    <n v="213562328"/>
    <n v="1.9E-2"/>
    <n v="17.170000000000002"/>
    <n v="1.67"/>
    <m/>
    <m/>
    <s v="Low Growth"/>
    <n v="56325491359"/>
    <x v="2"/>
  </r>
  <r>
    <n v="2018"/>
    <n v="6"/>
    <s v="Europe"/>
    <s v="X5"/>
    <n v="4771"/>
    <n v="68944"/>
    <n v="328931824"/>
    <n v="2.5999999999999999E-2"/>
    <n v="17.170000000000002"/>
    <n v="1.67"/>
    <m/>
    <m/>
    <s v="Low Growth"/>
    <n v="56325491359"/>
    <x v="2"/>
  </r>
  <r>
    <n v="2018"/>
    <n v="6"/>
    <s v="Europe"/>
    <s v="X7"/>
    <n v="2759"/>
    <n v="90223"/>
    <n v="248925257"/>
    <n v="3.2000000000000001E-2"/>
    <n v="17.170000000000002"/>
    <n v="1.67"/>
    <m/>
    <m/>
    <s v="High Growth"/>
    <n v="56325491359"/>
    <x v="2"/>
  </r>
  <r>
    <n v="2018"/>
    <n v="6"/>
    <s v="Europe"/>
    <s v="i4"/>
    <n v="10943"/>
    <n v="63062"/>
    <n v="690087466"/>
    <n v="1.4999999999999999E-2"/>
    <n v="17.170000000000002"/>
    <n v="1.67"/>
    <m/>
    <m/>
    <s v="Low Growth"/>
    <n v="56325491359"/>
    <x v="2"/>
  </r>
  <r>
    <n v="2018"/>
    <n v="6"/>
    <s v="Europe"/>
    <s v="iX"/>
    <n v="7067"/>
    <n v="74633"/>
    <n v="527431411"/>
    <n v="2.3E-2"/>
    <n v="17.170000000000002"/>
    <n v="1.67"/>
    <m/>
    <m/>
    <s v="Low Growth"/>
    <n v="56325491359"/>
    <x v="2"/>
  </r>
  <r>
    <n v="2018"/>
    <n v="6"/>
    <s v="Europe"/>
    <s v="MINI"/>
    <n v="10742"/>
    <n v="40510"/>
    <n v="435158420"/>
    <n v="3.2000000000000001E-2"/>
    <n v="17.170000000000002"/>
    <n v="1.67"/>
    <m/>
    <m/>
    <s v="High Growth"/>
    <n v="56325491359"/>
    <x v="2"/>
  </r>
  <r>
    <n v="2018"/>
    <n v="6"/>
    <s v="China"/>
    <s v="3 Series"/>
    <n v="4950"/>
    <n v="48818"/>
    <n v="241649100"/>
    <n v="3.5999999999999997E-2"/>
    <n v="20.05"/>
    <n v="2.89"/>
    <m/>
    <m/>
    <s v="High Growth"/>
    <n v="58905926051"/>
    <x v="2"/>
  </r>
  <r>
    <n v="2018"/>
    <n v="6"/>
    <s v="China"/>
    <s v="5 Series"/>
    <n v="4356"/>
    <n v="63094"/>
    <n v="274837464"/>
    <n v="2.1999999999999999E-2"/>
    <n v="20.05"/>
    <n v="2.89"/>
    <m/>
    <m/>
    <s v="Low Growth"/>
    <n v="58905926051"/>
    <x v="2"/>
  </r>
  <r>
    <n v="2018"/>
    <n v="6"/>
    <s v="China"/>
    <s v="X3"/>
    <n v="10604"/>
    <n v="56082"/>
    <n v="594693528"/>
    <n v="2.9000000000000001E-2"/>
    <n v="20.05"/>
    <n v="2.89"/>
    <m/>
    <m/>
    <s v="Low Growth"/>
    <n v="58905926051"/>
    <x v="2"/>
  </r>
  <r>
    <n v="2018"/>
    <n v="6"/>
    <s v="China"/>
    <s v="X5"/>
    <n v="10719"/>
    <n v="69504"/>
    <n v="745013376"/>
    <n v="2.8000000000000001E-2"/>
    <n v="20.05"/>
    <n v="2.89"/>
    <m/>
    <m/>
    <s v="Low Growth"/>
    <n v="58905926051"/>
    <x v="2"/>
  </r>
  <r>
    <n v="2018"/>
    <n v="6"/>
    <s v="China"/>
    <s v="X7"/>
    <n v="9346"/>
    <n v="93843"/>
    <n v="877056678"/>
    <n v="1.2E-2"/>
    <n v="20.05"/>
    <n v="2.89"/>
    <m/>
    <m/>
    <s v="Low Growth"/>
    <n v="58905926051"/>
    <x v="2"/>
  </r>
  <r>
    <n v="2018"/>
    <n v="6"/>
    <s v="China"/>
    <s v="i4"/>
    <n v="8871"/>
    <n v="63448"/>
    <n v="562847208"/>
    <n v="1.0999999999999999E-2"/>
    <n v="20.05"/>
    <n v="2.89"/>
    <m/>
    <m/>
    <s v="Low Growth"/>
    <n v="58905926051"/>
    <x v="2"/>
  </r>
  <r>
    <n v="2018"/>
    <n v="6"/>
    <s v="China"/>
    <s v="iX"/>
    <n v="8223"/>
    <n v="73770"/>
    <n v="606610710"/>
    <n v="-1.4999999999999999E-2"/>
    <n v="20.05"/>
    <n v="2.89"/>
    <m/>
    <m/>
    <s v="Low Growth"/>
    <n v="58905926051"/>
    <x v="2"/>
  </r>
  <r>
    <n v="2018"/>
    <n v="6"/>
    <s v="China"/>
    <s v="MINI"/>
    <n v="7549"/>
    <n v="41984"/>
    <n v="316937216"/>
    <n v="1.7000000000000001E-2"/>
    <n v="20.05"/>
    <n v="2.89"/>
    <m/>
    <m/>
    <s v="Low Growth"/>
    <n v="58905926051"/>
    <x v="2"/>
  </r>
  <r>
    <n v="2018"/>
    <n v="6"/>
    <s v="USA"/>
    <s v="3 Series"/>
    <n v="9948"/>
    <n v="46577"/>
    <n v="463347996"/>
    <n v="2.5999999999999999E-2"/>
    <n v="20.14"/>
    <n v="5.0599999999999996"/>
    <m/>
    <m/>
    <s v="Low Growth"/>
    <n v="54599997295"/>
    <x v="2"/>
  </r>
  <r>
    <n v="2018"/>
    <n v="6"/>
    <s v="USA"/>
    <s v="5 Series"/>
    <n v="7733"/>
    <n v="62150"/>
    <n v="480605950"/>
    <n v="3.4000000000000002E-2"/>
    <n v="20.14"/>
    <n v="5.0599999999999996"/>
    <m/>
    <m/>
    <s v="High Growth"/>
    <n v="54599997295"/>
    <x v="2"/>
  </r>
  <r>
    <n v="2018"/>
    <n v="6"/>
    <s v="USA"/>
    <s v="X3"/>
    <n v="10319"/>
    <n v="58845"/>
    <n v="607221555"/>
    <n v="3.1E-2"/>
    <n v="20.14"/>
    <n v="5.0599999999999996"/>
    <m/>
    <m/>
    <s v="High Growth"/>
    <n v="54599997295"/>
    <x v="2"/>
  </r>
  <r>
    <n v="2018"/>
    <n v="6"/>
    <s v="USA"/>
    <s v="X5"/>
    <n v="10452"/>
    <n v="69482"/>
    <n v="726225864"/>
    <n v="2E-3"/>
    <n v="20.14"/>
    <n v="5.0599999999999996"/>
    <m/>
    <m/>
    <s v="Low Growth"/>
    <n v="54599997295"/>
    <x v="2"/>
  </r>
  <r>
    <n v="2018"/>
    <n v="6"/>
    <s v="USA"/>
    <s v="X7"/>
    <n v="4214"/>
    <n v="91358"/>
    <n v="384982612"/>
    <n v="0"/>
    <n v="20.14"/>
    <n v="5.0599999999999996"/>
    <m/>
    <m/>
    <s v="Low Growth"/>
    <n v="54599997295"/>
    <x v="2"/>
  </r>
  <r>
    <n v="2018"/>
    <n v="6"/>
    <s v="USA"/>
    <s v="i4"/>
    <n v="8376"/>
    <n v="63541"/>
    <n v="532219416"/>
    <n v="0.04"/>
    <n v="20.14"/>
    <n v="5.0599999999999996"/>
    <m/>
    <m/>
    <s v="High Growth"/>
    <n v="54599997295"/>
    <x v="2"/>
  </r>
  <r>
    <n v="2018"/>
    <n v="6"/>
    <s v="USA"/>
    <s v="iX"/>
    <n v="8089"/>
    <n v="73796"/>
    <n v="596935844"/>
    <n v="3.9E-2"/>
    <n v="20.14"/>
    <n v="5.0599999999999996"/>
    <m/>
    <m/>
    <s v="High Growth"/>
    <n v="54599997295"/>
    <x v="2"/>
  </r>
  <r>
    <n v="2018"/>
    <n v="6"/>
    <s v="USA"/>
    <s v="MINI"/>
    <n v="10497"/>
    <n v="40137"/>
    <n v="421318089"/>
    <n v="2.1999999999999999E-2"/>
    <n v="20.14"/>
    <n v="5.0599999999999996"/>
    <m/>
    <m/>
    <s v="Low Growth"/>
    <n v="54599997295"/>
    <x v="2"/>
  </r>
  <r>
    <n v="2018"/>
    <n v="6"/>
    <s v="RestOfWorld"/>
    <s v="3 Series"/>
    <n v="7330"/>
    <n v="46204"/>
    <n v="338675320"/>
    <n v="0.02"/>
    <n v="5.52"/>
    <n v="2.99"/>
    <m/>
    <m/>
    <s v="Low Growth"/>
    <n v="55528754190"/>
    <x v="2"/>
  </r>
  <r>
    <n v="2018"/>
    <n v="6"/>
    <s v="RestOfWorld"/>
    <s v="5 Series"/>
    <n v="9645"/>
    <n v="63818"/>
    <n v="615524610"/>
    <n v="2.4E-2"/>
    <n v="5.52"/>
    <n v="2.99"/>
    <m/>
    <m/>
    <s v="Low Growth"/>
    <n v="55528754190"/>
    <x v="2"/>
  </r>
  <r>
    <n v="2018"/>
    <n v="6"/>
    <s v="RestOfWorld"/>
    <s v="X3"/>
    <n v="4846"/>
    <n v="58895"/>
    <n v="285405170"/>
    <n v="-2E-3"/>
    <n v="5.52"/>
    <n v="2.99"/>
    <m/>
    <m/>
    <s v="Low Growth"/>
    <n v="55528754190"/>
    <x v="2"/>
  </r>
  <r>
    <n v="2018"/>
    <n v="6"/>
    <s v="RestOfWorld"/>
    <s v="X5"/>
    <n v="9611"/>
    <n v="68994"/>
    <n v="663101334"/>
    <n v="0.04"/>
    <n v="5.52"/>
    <n v="2.99"/>
    <m/>
    <m/>
    <s v="High Growth"/>
    <n v="55528754190"/>
    <x v="2"/>
  </r>
  <r>
    <n v="2018"/>
    <n v="6"/>
    <s v="RestOfWorld"/>
    <s v="X7"/>
    <n v="9384"/>
    <n v="91719"/>
    <n v="860691096"/>
    <n v="8.9999999999999993E-3"/>
    <n v="5.52"/>
    <n v="2.99"/>
    <m/>
    <m/>
    <s v="Low Growth"/>
    <n v="55528754190"/>
    <x v="2"/>
  </r>
  <r>
    <n v="2018"/>
    <n v="6"/>
    <s v="RestOfWorld"/>
    <s v="i4"/>
    <n v="12069"/>
    <n v="66266"/>
    <n v="799764354"/>
    <n v="2.5000000000000001E-2"/>
    <n v="5.52"/>
    <n v="2.99"/>
    <m/>
    <m/>
    <s v="Low Growth"/>
    <n v="55528754190"/>
    <x v="2"/>
  </r>
  <r>
    <n v="2018"/>
    <n v="6"/>
    <s v="RestOfWorld"/>
    <s v="iX"/>
    <n v="4825"/>
    <n v="74969"/>
    <n v="361725425"/>
    <n v="4.1000000000000002E-2"/>
    <n v="5.52"/>
    <n v="2.99"/>
    <m/>
    <m/>
    <s v="High Growth"/>
    <n v="55528754190"/>
    <x v="2"/>
  </r>
  <r>
    <n v="2018"/>
    <n v="6"/>
    <s v="RestOfWorld"/>
    <s v="MINI"/>
    <n v="10204"/>
    <n v="43122"/>
    <n v="440016888"/>
    <n v="1.7000000000000001E-2"/>
    <n v="5.52"/>
    <n v="2.99"/>
    <m/>
    <m/>
    <s v="Low Growth"/>
    <n v="55528754190"/>
    <x v="2"/>
  </r>
  <r>
    <n v="2018"/>
    <n v="7"/>
    <s v="Europe"/>
    <s v="3 Series"/>
    <n v="8432"/>
    <n v="47968"/>
    <n v="404466176"/>
    <n v="2.8000000000000001E-2"/>
    <n v="14.62"/>
    <n v="2.1800000000000002"/>
    <m/>
    <m/>
    <s v="Low Growth"/>
    <n v="56325491359"/>
    <x v="3"/>
  </r>
  <r>
    <n v="2018"/>
    <n v="7"/>
    <s v="Europe"/>
    <s v="5 Series"/>
    <n v="9253"/>
    <n v="62841"/>
    <n v="581467773"/>
    <n v="1.7000000000000001E-2"/>
    <n v="14.62"/>
    <n v="2.1800000000000002"/>
    <m/>
    <m/>
    <s v="Low Growth"/>
    <n v="56325491359"/>
    <x v="3"/>
  </r>
  <r>
    <n v="2018"/>
    <n v="7"/>
    <s v="Europe"/>
    <s v="X3"/>
    <n v="8255"/>
    <n v="58397"/>
    <n v="482067235"/>
    <n v="1.2999999999999999E-2"/>
    <n v="14.62"/>
    <n v="2.1800000000000002"/>
    <m/>
    <m/>
    <s v="Low Growth"/>
    <n v="56325491359"/>
    <x v="3"/>
  </r>
  <r>
    <n v="2018"/>
    <n v="7"/>
    <s v="Europe"/>
    <s v="X5"/>
    <n v="5109"/>
    <n v="67047"/>
    <n v="342543123"/>
    <n v="2.1999999999999999E-2"/>
    <n v="14.62"/>
    <n v="2.1800000000000002"/>
    <m/>
    <m/>
    <s v="Low Growth"/>
    <n v="56325491359"/>
    <x v="3"/>
  </r>
  <r>
    <n v="2018"/>
    <n v="7"/>
    <s v="Europe"/>
    <s v="X7"/>
    <n v="5836"/>
    <n v="91715"/>
    <n v="535248740"/>
    <n v="2.1999999999999999E-2"/>
    <n v="14.62"/>
    <n v="2.1800000000000002"/>
    <m/>
    <m/>
    <s v="Low Growth"/>
    <n v="56325491359"/>
    <x v="3"/>
  </r>
  <r>
    <n v="2018"/>
    <n v="7"/>
    <s v="Europe"/>
    <s v="i4"/>
    <n v="2661"/>
    <n v="63638"/>
    <n v="169340718"/>
    <n v="1.2E-2"/>
    <n v="14.62"/>
    <n v="2.1800000000000002"/>
    <m/>
    <m/>
    <s v="Low Growth"/>
    <n v="56325491359"/>
    <x v="3"/>
  </r>
  <r>
    <n v="2018"/>
    <n v="7"/>
    <s v="Europe"/>
    <s v="iX"/>
    <n v="2427"/>
    <n v="75125"/>
    <n v="182328375"/>
    <n v="4.3999999999999997E-2"/>
    <n v="14.62"/>
    <n v="2.1800000000000002"/>
    <m/>
    <m/>
    <s v="High Growth"/>
    <n v="56325491359"/>
    <x v="3"/>
  </r>
  <r>
    <n v="2018"/>
    <n v="7"/>
    <s v="Europe"/>
    <s v="MINI"/>
    <n v="2720"/>
    <n v="42713"/>
    <n v="116179360"/>
    <n v="1.7000000000000001E-2"/>
    <n v="14.62"/>
    <n v="2.1800000000000002"/>
    <m/>
    <m/>
    <s v="Low Growth"/>
    <n v="56325491359"/>
    <x v="3"/>
  </r>
  <r>
    <n v="2018"/>
    <n v="7"/>
    <s v="China"/>
    <s v="3 Series"/>
    <n v="7951"/>
    <n v="47215"/>
    <n v="375406465"/>
    <n v="8.0000000000000002E-3"/>
    <n v="17.579999999999998"/>
    <n v="3.58"/>
    <m/>
    <m/>
    <s v="Low Growth"/>
    <n v="58905926051"/>
    <x v="3"/>
  </r>
  <r>
    <n v="2018"/>
    <n v="7"/>
    <s v="China"/>
    <s v="5 Series"/>
    <n v="10119"/>
    <n v="61654"/>
    <n v="623876826"/>
    <n v="3.0000000000000001E-3"/>
    <n v="17.579999999999998"/>
    <n v="3.58"/>
    <m/>
    <m/>
    <s v="Low Growth"/>
    <n v="58905926051"/>
    <x v="3"/>
  </r>
  <r>
    <n v="2018"/>
    <n v="7"/>
    <s v="China"/>
    <s v="X3"/>
    <n v="10834"/>
    <n v="58133"/>
    <n v="629812922"/>
    <n v="3.2000000000000001E-2"/>
    <n v="17.579999999999998"/>
    <n v="3.58"/>
    <m/>
    <m/>
    <s v="High Growth"/>
    <n v="58905926051"/>
    <x v="3"/>
  </r>
  <r>
    <n v="2018"/>
    <n v="7"/>
    <s v="China"/>
    <s v="X5"/>
    <n v="9633"/>
    <n v="67125"/>
    <n v="646615125"/>
    <n v="2.1999999999999999E-2"/>
    <n v="17.579999999999998"/>
    <n v="3.58"/>
    <m/>
    <m/>
    <s v="Low Growth"/>
    <n v="58905926051"/>
    <x v="3"/>
  </r>
  <r>
    <n v="2018"/>
    <n v="7"/>
    <s v="China"/>
    <s v="X7"/>
    <n v="6775"/>
    <n v="91603"/>
    <n v="620610325"/>
    <n v="2.1999999999999999E-2"/>
    <n v="17.579999999999998"/>
    <n v="3.58"/>
    <m/>
    <m/>
    <s v="Low Growth"/>
    <n v="58905926051"/>
    <x v="3"/>
  </r>
  <r>
    <n v="2018"/>
    <n v="7"/>
    <s v="China"/>
    <s v="i4"/>
    <n v="9557"/>
    <n v="63066"/>
    <n v="602721762"/>
    <n v="2.9000000000000001E-2"/>
    <n v="17.579999999999998"/>
    <n v="3.58"/>
    <m/>
    <m/>
    <s v="Low Growth"/>
    <n v="58905926051"/>
    <x v="3"/>
  </r>
  <r>
    <n v="2018"/>
    <n v="7"/>
    <s v="China"/>
    <s v="iX"/>
    <n v="2595"/>
    <n v="73110"/>
    <n v="189720450"/>
    <n v="1.0999999999999999E-2"/>
    <n v="17.579999999999998"/>
    <n v="3.58"/>
    <m/>
    <m/>
    <s v="Low Growth"/>
    <n v="58905926051"/>
    <x v="3"/>
  </r>
  <r>
    <n v="2018"/>
    <n v="7"/>
    <s v="China"/>
    <s v="MINI"/>
    <n v="9920"/>
    <n v="43440"/>
    <n v="430924800"/>
    <n v="0.02"/>
    <n v="17.579999999999998"/>
    <n v="3.58"/>
    <m/>
    <m/>
    <s v="Low Growth"/>
    <n v="58905926051"/>
    <x v="3"/>
  </r>
  <r>
    <n v="2018"/>
    <n v="7"/>
    <s v="USA"/>
    <s v="3 Series"/>
    <n v="4977"/>
    <n v="47975"/>
    <n v="238771575"/>
    <n v="2.9000000000000001E-2"/>
    <n v="16.36"/>
    <n v="0.99"/>
    <m/>
    <m/>
    <s v="Low Growth"/>
    <n v="54599997295"/>
    <x v="3"/>
  </r>
  <r>
    <n v="2018"/>
    <n v="7"/>
    <s v="USA"/>
    <s v="5 Series"/>
    <n v="3207"/>
    <n v="61989"/>
    <n v="198798723"/>
    <n v="3.9E-2"/>
    <n v="16.36"/>
    <n v="0.99"/>
    <m/>
    <m/>
    <s v="High Growth"/>
    <n v="54599997295"/>
    <x v="3"/>
  </r>
  <r>
    <n v="2018"/>
    <n v="7"/>
    <s v="USA"/>
    <s v="X3"/>
    <n v="5996"/>
    <n v="58671"/>
    <n v="351791316"/>
    <n v="1.4E-2"/>
    <n v="16.36"/>
    <n v="0.99"/>
    <m/>
    <m/>
    <s v="Low Growth"/>
    <n v="54599997295"/>
    <x v="3"/>
  </r>
  <r>
    <n v="2018"/>
    <n v="7"/>
    <s v="USA"/>
    <s v="X5"/>
    <n v="9011"/>
    <n v="70517"/>
    <n v="635428687"/>
    <n v="7.0000000000000001E-3"/>
    <n v="16.36"/>
    <n v="0.99"/>
    <m/>
    <m/>
    <s v="Low Growth"/>
    <n v="54599997295"/>
    <x v="3"/>
  </r>
  <r>
    <n v="2018"/>
    <n v="7"/>
    <s v="USA"/>
    <s v="X7"/>
    <n v="5923"/>
    <n v="92595"/>
    <n v="548440185"/>
    <n v="-5.0000000000000001E-3"/>
    <n v="16.36"/>
    <n v="0.99"/>
    <m/>
    <m/>
    <s v="Low Growth"/>
    <n v="54599997295"/>
    <x v="3"/>
  </r>
  <r>
    <n v="2018"/>
    <n v="7"/>
    <s v="USA"/>
    <s v="i4"/>
    <n v="11030"/>
    <n v="64246"/>
    <n v="708633380"/>
    <n v="2.7E-2"/>
    <n v="16.36"/>
    <n v="0.99"/>
    <m/>
    <m/>
    <s v="Low Growth"/>
    <n v="54599997295"/>
    <x v="3"/>
  </r>
  <r>
    <n v="2018"/>
    <n v="7"/>
    <s v="USA"/>
    <s v="iX"/>
    <n v="2379"/>
    <n v="73003"/>
    <n v="173674137"/>
    <n v="2.4E-2"/>
    <n v="16.36"/>
    <n v="0.99"/>
    <m/>
    <m/>
    <s v="Low Growth"/>
    <n v="54599997295"/>
    <x v="3"/>
  </r>
  <r>
    <n v="2018"/>
    <n v="7"/>
    <s v="USA"/>
    <s v="MINI"/>
    <n v="8042"/>
    <n v="40645"/>
    <n v="326867090"/>
    <n v="1.9E-2"/>
    <n v="16.36"/>
    <n v="0.99"/>
    <m/>
    <m/>
    <s v="Low Growth"/>
    <n v="54599997295"/>
    <x v="3"/>
  </r>
  <r>
    <n v="2018"/>
    <n v="7"/>
    <s v="RestOfWorld"/>
    <s v="3 Series"/>
    <n v="7657"/>
    <n v="49097"/>
    <n v="375935729"/>
    <n v="2.3E-2"/>
    <n v="6.45"/>
    <n v="2.99"/>
    <m/>
    <m/>
    <s v="Low Growth"/>
    <n v="55528754190"/>
    <x v="3"/>
  </r>
  <r>
    <n v="2018"/>
    <n v="7"/>
    <s v="RestOfWorld"/>
    <s v="5 Series"/>
    <n v="8375"/>
    <n v="63371"/>
    <n v="530732125"/>
    <n v="3.7999999999999999E-2"/>
    <n v="6.45"/>
    <n v="2.99"/>
    <m/>
    <m/>
    <s v="High Growth"/>
    <n v="55528754190"/>
    <x v="3"/>
  </r>
  <r>
    <n v="2018"/>
    <n v="7"/>
    <s v="RestOfWorld"/>
    <s v="X3"/>
    <n v="8520"/>
    <n v="58187"/>
    <n v="495753240"/>
    <n v="2.5999999999999999E-2"/>
    <n v="6.45"/>
    <n v="2.99"/>
    <m/>
    <m/>
    <s v="Low Growth"/>
    <n v="55528754190"/>
    <x v="3"/>
  </r>
  <r>
    <n v="2018"/>
    <n v="7"/>
    <s v="RestOfWorld"/>
    <s v="X5"/>
    <n v="4320"/>
    <n v="69137"/>
    <n v="298671840"/>
    <n v="1.2E-2"/>
    <n v="6.45"/>
    <n v="2.99"/>
    <m/>
    <m/>
    <s v="Low Growth"/>
    <n v="55528754190"/>
    <x v="3"/>
  </r>
  <r>
    <n v="2018"/>
    <n v="7"/>
    <s v="RestOfWorld"/>
    <s v="X7"/>
    <n v="4111"/>
    <n v="92892"/>
    <n v="381879012"/>
    <n v="2.8000000000000001E-2"/>
    <n v="6.45"/>
    <n v="2.99"/>
    <m/>
    <m/>
    <s v="Low Growth"/>
    <n v="55528754190"/>
    <x v="3"/>
  </r>
  <r>
    <n v="2018"/>
    <n v="7"/>
    <s v="RestOfWorld"/>
    <s v="i4"/>
    <n v="4299"/>
    <n v="65306"/>
    <n v="280750494"/>
    <n v="0.02"/>
    <n v="6.45"/>
    <n v="2.99"/>
    <m/>
    <m/>
    <s v="Low Growth"/>
    <n v="55528754190"/>
    <x v="3"/>
  </r>
  <r>
    <n v="2018"/>
    <n v="7"/>
    <s v="RestOfWorld"/>
    <s v="iX"/>
    <n v="5931"/>
    <n v="73260"/>
    <n v="434505060"/>
    <n v="1.2999999999999999E-2"/>
    <n v="6.45"/>
    <n v="2.99"/>
    <m/>
    <m/>
    <s v="Low Growth"/>
    <n v="55528754190"/>
    <x v="3"/>
  </r>
  <r>
    <n v="2018"/>
    <n v="7"/>
    <s v="RestOfWorld"/>
    <s v="MINI"/>
    <n v="8111"/>
    <n v="41673"/>
    <n v="338009703"/>
    <n v="-1E-3"/>
    <n v="6.45"/>
    <n v="2.99"/>
    <m/>
    <m/>
    <s v="Low Growth"/>
    <n v="55528754190"/>
    <x v="3"/>
  </r>
  <r>
    <n v="2018"/>
    <n v="8"/>
    <s v="Europe"/>
    <s v="3 Series"/>
    <n v="5065"/>
    <n v="49621"/>
    <n v="251330365"/>
    <n v="1.9E-2"/>
    <n v="18.77"/>
    <n v="2.4"/>
    <m/>
    <m/>
    <s v="Low Growth"/>
    <n v="56325491359"/>
    <x v="4"/>
  </r>
  <r>
    <n v="2018"/>
    <n v="8"/>
    <s v="Europe"/>
    <s v="5 Series"/>
    <n v="5690"/>
    <n v="63677"/>
    <n v="362322130"/>
    <n v="0.01"/>
    <n v="18.77"/>
    <n v="2.4"/>
    <m/>
    <m/>
    <s v="Low Growth"/>
    <n v="56325491359"/>
    <x v="4"/>
  </r>
  <r>
    <n v="2018"/>
    <n v="8"/>
    <s v="Europe"/>
    <s v="X3"/>
    <n v="11219"/>
    <n v="58635"/>
    <n v="657826065"/>
    <n v="2.1999999999999999E-2"/>
    <n v="18.77"/>
    <n v="2.4"/>
    <m/>
    <m/>
    <s v="Low Growth"/>
    <n v="56325491359"/>
    <x v="4"/>
  </r>
  <r>
    <n v="2018"/>
    <n v="8"/>
    <s v="Europe"/>
    <s v="X5"/>
    <n v="10128"/>
    <n v="68570"/>
    <n v="694476960"/>
    <n v="2.1000000000000001E-2"/>
    <n v="18.77"/>
    <n v="2.4"/>
    <m/>
    <m/>
    <s v="Low Growth"/>
    <n v="56325491359"/>
    <x v="4"/>
  </r>
  <r>
    <n v="2018"/>
    <n v="8"/>
    <s v="Europe"/>
    <s v="X7"/>
    <n v="4807"/>
    <n v="91855"/>
    <n v="441546985"/>
    <n v="2.5000000000000001E-2"/>
    <n v="18.77"/>
    <n v="2.4"/>
    <m/>
    <m/>
    <s v="Low Growth"/>
    <n v="56325491359"/>
    <x v="4"/>
  </r>
  <r>
    <n v="2018"/>
    <n v="8"/>
    <s v="Europe"/>
    <s v="i4"/>
    <n v="7569"/>
    <n v="66911"/>
    <n v="506449359"/>
    <n v="3.5999999999999997E-2"/>
    <n v="18.77"/>
    <n v="2.4"/>
    <m/>
    <m/>
    <s v="High Growth"/>
    <n v="56325491359"/>
    <x v="4"/>
  </r>
  <r>
    <n v="2018"/>
    <n v="8"/>
    <s v="Europe"/>
    <s v="iX"/>
    <n v="10985"/>
    <n v="74314"/>
    <n v="816339290"/>
    <n v="2.8000000000000001E-2"/>
    <n v="18.77"/>
    <n v="2.4"/>
    <m/>
    <m/>
    <s v="Low Growth"/>
    <n v="56325491359"/>
    <x v="4"/>
  </r>
  <r>
    <n v="2018"/>
    <n v="8"/>
    <s v="Europe"/>
    <s v="MINI"/>
    <n v="6954"/>
    <n v="43236"/>
    <n v="300663144"/>
    <n v="2.5999999999999999E-2"/>
    <n v="18.77"/>
    <n v="2.4"/>
    <m/>
    <m/>
    <s v="Low Growth"/>
    <n v="56325491359"/>
    <x v="4"/>
  </r>
  <r>
    <n v="2018"/>
    <n v="8"/>
    <s v="China"/>
    <s v="3 Series"/>
    <n v="6390"/>
    <n v="48449"/>
    <n v="309589110"/>
    <n v="2.8000000000000001E-2"/>
    <n v="17.66"/>
    <n v="3.54"/>
    <m/>
    <m/>
    <s v="Low Growth"/>
    <n v="58905926051"/>
    <x v="4"/>
  </r>
  <r>
    <n v="2018"/>
    <n v="8"/>
    <s v="China"/>
    <s v="5 Series"/>
    <n v="8970"/>
    <n v="63762"/>
    <n v="571945140"/>
    <n v="3.0000000000000001E-3"/>
    <n v="17.66"/>
    <n v="3.54"/>
    <m/>
    <m/>
    <s v="Low Growth"/>
    <n v="58905926051"/>
    <x v="4"/>
  </r>
  <r>
    <n v="2018"/>
    <n v="8"/>
    <s v="China"/>
    <s v="X3"/>
    <n v="9788"/>
    <n v="58190"/>
    <n v="569563720"/>
    <n v="3.1E-2"/>
    <n v="17.66"/>
    <n v="3.54"/>
    <m/>
    <m/>
    <s v="High Growth"/>
    <n v="58905926051"/>
    <x v="4"/>
  </r>
  <r>
    <n v="2018"/>
    <n v="8"/>
    <s v="China"/>
    <s v="X5"/>
    <n v="11099"/>
    <n v="69712"/>
    <n v="773733488"/>
    <n v="1.2E-2"/>
    <n v="17.66"/>
    <n v="3.54"/>
    <m/>
    <m/>
    <s v="Low Growth"/>
    <n v="58905926051"/>
    <x v="4"/>
  </r>
  <r>
    <n v="2018"/>
    <n v="8"/>
    <s v="China"/>
    <s v="X7"/>
    <n v="4457"/>
    <n v="91997"/>
    <n v="410030629"/>
    <n v="1.7999999999999999E-2"/>
    <n v="17.66"/>
    <n v="3.54"/>
    <m/>
    <m/>
    <s v="Low Growth"/>
    <n v="58905926051"/>
    <x v="4"/>
  </r>
  <r>
    <n v="2018"/>
    <n v="8"/>
    <s v="China"/>
    <s v="i4"/>
    <n v="5877"/>
    <n v="65151"/>
    <n v="382892427"/>
    <n v="2.8000000000000001E-2"/>
    <n v="17.66"/>
    <n v="3.54"/>
    <m/>
    <m/>
    <s v="Low Growth"/>
    <n v="58905926051"/>
    <x v="4"/>
  </r>
  <r>
    <n v="2018"/>
    <n v="8"/>
    <s v="China"/>
    <s v="iX"/>
    <n v="6192"/>
    <n v="75626"/>
    <n v="468276192"/>
    <n v="-3.0000000000000001E-3"/>
    <n v="17.66"/>
    <n v="3.54"/>
    <m/>
    <m/>
    <s v="Low Growth"/>
    <n v="58905926051"/>
    <x v="4"/>
  </r>
  <r>
    <n v="2018"/>
    <n v="8"/>
    <s v="China"/>
    <s v="MINI"/>
    <n v="3516"/>
    <n v="42601"/>
    <n v="149785116"/>
    <n v="3.4000000000000002E-2"/>
    <n v="17.66"/>
    <n v="3.54"/>
    <m/>
    <m/>
    <s v="High Growth"/>
    <n v="58905926051"/>
    <x v="4"/>
  </r>
  <r>
    <n v="2018"/>
    <n v="8"/>
    <s v="USA"/>
    <s v="3 Series"/>
    <n v="10610"/>
    <n v="48597"/>
    <n v="515614170"/>
    <n v="2.1999999999999999E-2"/>
    <n v="18.34"/>
    <n v="3.34"/>
    <m/>
    <m/>
    <s v="Low Growth"/>
    <n v="54599997295"/>
    <x v="4"/>
  </r>
  <r>
    <n v="2018"/>
    <n v="8"/>
    <s v="USA"/>
    <s v="5 Series"/>
    <n v="3439"/>
    <n v="63068"/>
    <n v="216890852"/>
    <n v="2.1999999999999999E-2"/>
    <n v="18.34"/>
    <n v="3.34"/>
    <m/>
    <m/>
    <s v="Low Growth"/>
    <n v="54599997295"/>
    <x v="4"/>
  </r>
  <r>
    <n v="2018"/>
    <n v="8"/>
    <s v="USA"/>
    <s v="X3"/>
    <n v="3277"/>
    <n v="57857"/>
    <n v="189597389"/>
    <n v="1.6E-2"/>
    <n v="18.34"/>
    <n v="3.34"/>
    <m/>
    <m/>
    <s v="Low Growth"/>
    <n v="54599997295"/>
    <x v="4"/>
  </r>
  <r>
    <n v="2018"/>
    <n v="8"/>
    <s v="USA"/>
    <s v="X5"/>
    <n v="6756"/>
    <n v="68658"/>
    <n v="463853448"/>
    <n v="1.6E-2"/>
    <n v="18.34"/>
    <n v="3.34"/>
    <m/>
    <m/>
    <s v="Low Growth"/>
    <n v="54599997295"/>
    <x v="4"/>
  </r>
  <r>
    <n v="2018"/>
    <n v="8"/>
    <s v="USA"/>
    <s v="X7"/>
    <n v="4146"/>
    <n v="93230"/>
    <n v="386531580"/>
    <n v="0.03"/>
    <n v="18.34"/>
    <n v="3.34"/>
    <m/>
    <m/>
    <s v="Low Growth"/>
    <n v="54599997295"/>
    <x v="4"/>
  </r>
  <r>
    <n v="2018"/>
    <n v="8"/>
    <s v="USA"/>
    <s v="i4"/>
    <n v="8427"/>
    <n v="64900"/>
    <n v="546912300"/>
    <n v="1.4999999999999999E-2"/>
    <n v="18.34"/>
    <n v="3.34"/>
    <m/>
    <m/>
    <s v="Low Growth"/>
    <n v="54599997295"/>
    <x v="4"/>
  </r>
  <r>
    <n v="2018"/>
    <n v="8"/>
    <s v="USA"/>
    <s v="iX"/>
    <n v="8416"/>
    <n v="76719"/>
    <n v="645667104"/>
    <n v="2.1000000000000001E-2"/>
    <n v="18.34"/>
    <n v="3.34"/>
    <m/>
    <m/>
    <s v="Low Growth"/>
    <n v="54599997295"/>
    <x v="4"/>
  </r>
  <r>
    <n v="2018"/>
    <n v="8"/>
    <s v="USA"/>
    <s v="MINI"/>
    <n v="4627"/>
    <n v="42891"/>
    <n v="198456657"/>
    <n v="4.4999999999999998E-2"/>
    <n v="18.34"/>
    <n v="3.34"/>
    <m/>
    <m/>
    <s v="High Growth"/>
    <n v="54599997295"/>
    <x v="4"/>
  </r>
  <r>
    <n v="2018"/>
    <n v="8"/>
    <s v="RestOfWorld"/>
    <s v="3 Series"/>
    <n v="4385"/>
    <n v="48070"/>
    <n v="210786950"/>
    <n v="8.0000000000000002E-3"/>
    <n v="6.43"/>
    <n v="4.33"/>
    <m/>
    <m/>
    <s v="Low Growth"/>
    <n v="55528754190"/>
    <x v="4"/>
  </r>
  <r>
    <n v="2018"/>
    <n v="8"/>
    <s v="RestOfWorld"/>
    <s v="5 Series"/>
    <n v="3148"/>
    <n v="60345"/>
    <n v="189966060"/>
    <n v="1.2999999999999999E-2"/>
    <n v="6.43"/>
    <n v="4.33"/>
    <m/>
    <m/>
    <s v="Low Growth"/>
    <n v="55528754190"/>
    <x v="4"/>
  </r>
  <r>
    <n v="2018"/>
    <n v="8"/>
    <s v="RestOfWorld"/>
    <s v="X3"/>
    <n v="10501"/>
    <n v="59005"/>
    <n v="619611505"/>
    <n v="2.3E-2"/>
    <n v="6.43"/>
    <n v="4.33"/>
    <m/>
    <m/>
    <s v="Low Growth"/>
    <n v="55528754190"/>
    <x v="4"/>
  </r>
  <r>
    <n v="2018"/>
    <n v="8"/>
    <s v="RestOfWorld"/>
    <s v="X5"/>
    <n v="3309"/>
    <n v="70040"/>
    <n v="231762360"/>
    <n v="8.9999999999999993E-3"/>
    <n v="6.43"/>
    <n v="4.33"/>
    <m/>
    <m/>
    <s v="Low Growth"/>
    <n v="55528754190"/>
    <x v="4"/>
  </r>
  <r>
    <n v="2018"/>
    <n v="8"/>
    <s v="RestOfWorld"/>
    <s v="X7"/>
    <n v="9775"/>
    <n v="93051"/>
    <n v="909573525"/>
    <n v="2.5999999999999999E-2"/>
    <n v="6.43"/>
    <n v="4.33"/>
    <m/>
    <m/>
    <s v="Low Growth"/>
    <n v="55528754190"/>
    <x v="4"/>
  </r>
  <r>
    <n v="2018"/>
    <n v="8"/>
    <s v="RestOfWorld"/>
    <s v="i4"/>
    <n v="6603"/>
    <n v="66055"/>
    <n v="436161165"/>
    <n v="3.5999999999999997E-2"/>
    <n v="6.43"/>
    <n v="4.33"/>
    <m/>
    <m/>
    <s v="High Growth"/>
    <n v="55528754190"/>
    <x v="4"/>
  </r>
  <r>
    <n v="2018"/>
    <n v="8"/>
    <s v="RestOfWorld"/>
    <s v="iX"/>
    <n v="6057"/>
    <n v="73603"/>
    <n v="445813371"/>
    <n v="1.2E-2"/>
    <n v="6.43"/>
    <n v="4.33"/>
    <m/>
    <m/>
    <s v="Low Growth"/>
    <n v="55528754190"/>
    <x v="4"/>
  </r>
  <r>
    <n v="2018"/>
    <n v="8"/>
    <s v="RestOfWorld"/>
    <s v="MINI"/>
    <n v="8097"/>
    <n v="41013"/>
    <n v="332082261"/>
    <n v="2.5000000000000001E-2"/>
    <n v="6.43"/>
    <n v="4.33"/>
    <m/>
    <m/>
    <s v="Low Growth"/>
    <n v="55528754190"/>
    <x v="4"/>
  </r>
  <r>
    <n v="2018"/>
    <n v="9"/>
    <s v="Europe"/>
    <s v="3 Series"/>
    <n v="13086"/>
    <n v="46566"/>
    <n v="609362676"/>
    <n v="1.4999999999999999E-2"/>
    <n v="15.16"/>
    <n v="2.67"/>
    <m/>
    <m/>
    <s v="Low Growth"/>
    <n v="56325491359"/>
    <x v="5"/>
  </r>
  <r>
    <n v="2018"/>
    <n v="9"/>
    <s v="Europe"/>
    <s v="5 Series"/>
    <n v="9915"/>
    <n v="60935"/>
    <n v="604170525"/>
    <n v="0.03"/>
    <n v="15.16"/>
    <n v="2.67"/>
    <m/>
    <m/>
    <s v="Low Growth"/>
    <n v="56325491359"/>
    <x v="5"/>
  </r>
  <r>
    <n v="2018"/>
    <n v="9"/>
    <s v="Europe"/>
    <s v="X3"/>
    <n v="5728"/>
    <n v="56201"/>
    <n v="321919328"/>
    <n v="3.4000000000000002E-2"/>
    <n v="15.16"/>
    <n v="2.67"/>
    <m/>
    <m/>
    <s v="High Growth"/>
    <n v="56325491359"/>
    <x v="5"/>
  </r>
  <r>
    <n v="2018"/>
    <n v="9"/>
    <s v="Europe"/>
    <s v="X5"/>
    <n v="6607"/>
    <n v="69360"/>
    <n v="458261520"/>
    <n v="1.2999999999999999E-2"/>
    <n v="15.16"/>
    <n v="2.67"/>
    <m/>
    <m/>
    <s v="Low Growth"/>
    <n v="56325491359"/>
    <x v="5"/>
  </r>
  <r>
    <n v="2018"/>
    <n v="9"/>
    <s v="Europe"/>
    <s v="X7"/>
    <n v="7383"/>
    <n v="92291"/>
    <n v="681384453"/>
    <n v="1.0999999999999999E-2"/>
    <n v="15.16"/>
    <n v="2.67"/>
    <m/>
    <m/>
    <s v="Low Growth"/>
    <n v="56325491359"/>
    <x v="5"/>
  </r>
  <r>
    <n v="2018"/>
    <n v="9"/>
    <s v="Europe"/>
    <s v="i4"/>
    <n v="3339"/>
    <n v="64625"/>
    <n v="215782875"/>
    <n v="2.1999999999999999E-2"/>
    <n v="15.16"/>
    <n v="2.67"/>
    <m/>
    <m/>
    <s v="Low Growth"/>
    <n v="56325491359"/>
    <x v="5"/>
  </r>
  <r>
    <n v="2018"/>
    <n v="9"/>
    <s v="Europe"/>
    <s v="iX"/>
    <n v="11520"/>
    <n v="73417"/>
    <n v="845763840"/>
    <n v="7.0000000000000001E-3"/>
    <n v="15.16"/>
    <n v="2.67"/>
    <m/>
    <m/>
    <s v="Low Growth"/>
    <n v="56325491359"/>
    <x v="5"/>
  </r>
  <r>
    <n v="2018"/>
    <n v="9"/>
    <s v="Europe"/>
    <s v="MINI"/>
    <n v="9889"/>
    <n v="43600"/>
    <n v="431160400"/>
    <n v="7.0000000000000001E-3"/>
    <n v="15.16"/>
    <n v="2.67"/>
    <m/>
    <m/>
    <s v="Low Growth"/>
    <n v="56325491359"/>
    <x v="5"/>
  </r>
  <r>
    <n v="2018"/>
    <n v="9"/>
    <s v="China"/>
    <s v="3 Series"/>
    <n v="4075"/>
    <n v="46709"/>
    <n v="190339175"/>
    <n v="0.02"/>
    <n v="20.39"/>
    <n v="2.56"/>
    <m/>
    <m/>
    <s v="Low Growth"/>
    <n v="58905926051"/>
    <x v="5"/>
  </r>
  <r>
    <n v="2018"/>
    <n v="9"/>
    <s v="China"/>
    <s v="5 Series"/>
    <n v="6679"/>
    <n v="61879"/>
    <n v="413289841"/>
    <n v="7.0000000000000001E-3"/>
    <n v="20.39"/>
    <n v="2.56"/>
    <m/>
    <m/>
    <s v="Low Growth"/>
    <n v="58905926051"/>
    <x v="5"/>
  </r>
  <r>
    <n v="2018"/>
    <n v="9"/>
    <s v="China"/>
    <s v="X3"/>
    <n v="9702"/>
    <n v="58713"/>
    <n v="569633526"/>
    <n v="1.2999999999999999E-2"/>
    <n v="20.39"/>
    <n v="2.56"/>
    <m/>
    <m/>
    <s v="Low Growth"/>
    <n v="58905926051"/>
    <x v="5"/>
  </r>
  <r>
    <n v="2018"/>
    <n v="9"/>
    <s v="China"/>
    <s v="X5"/>
    <n v="8896"/>
    <n v="70120"/>
    <n v="623787520"/>
    <n v="2.9000000000000001E-2"/>
    <n v="20.39"/>
    <n v="2.56"/>
    <m/>
    <m/>
    <s v="Low Growth"/>
    <n v="58905926051"/>
    <x v="5"/>
  </r>
  <r>
    <n v="2018"/>
    <n v="9"/>
    <s v="China"/>
    <s v="X7"/>
    <n v="3812"/>
    <n v="90147"/>
    <n v="343640364"/>
    <n v="0.02"/>
    <n v="20.39"/>
    <n v="2.56"/>
    <m/>
    <m/>
    <s v="Low Growth"/>
    <n v="58905926051"/>
    <x v="5"/>
  </r>
  <r>
    <n v="2018"/>
    <n v="9"/>
    <s v="China"/>
    <s v="i4"/>
    <n v="6821"/>
    <n v="63341"/>
    <n v="432048961"/>
    <n v="2.4E-2"/>
    <n v="20.39"/>
    <n v="2.56"/>
    <m/>
    <m/>
    <s v="Low Growth"/>
    <n v="58905926051"/>
    <x v="5"/>
  </r>
  <r>
    <n v="2018"/>
    <n v="9"/>
    <s v="China"/>
    <s v="iX"/>
    <n v="8450"/>
    <n v="74792"/>
    <n v="631992400"/>
    <n v="0.02"/>
    <n v="20.39"/>
    <n v="2.56"/>
    <m/>
    <m/>
    <s v="Low Growth"/>
    <n v="58905926051"/>
    <x v="5"/>
  </r>
  <r>
    <n v="2018"/>
    <n v="9"/>
    <s v="China"/>
    <s v="MINI"/>
    <n v="4684"/>
    <n v="43212"/>
    <n v="202405008"/>
    <n v="2.1999999999999999E-2"/>
    <n v="20.39"/>
    <n v="2.56"/>
    <m/>
    <m/>
    <s v="Low Growth"/>
    <n v="58905926051"/>
    <x v="5"/>
  </r>
  <r>
    <n v="2018"/>
    <n v="9"/>
    <s v="USA"/>
    <s v="3 Series"/>
    <n v="5036"/>
    <n v="47500"/>
    <n v="239210000"/>
    <n v="4.2999999999999997E-2"/>
    <n v="19.600000000000001"/>
    <n v="1.64"/>
    <m/>
    <m/>
    <s v="High Growth"/>
    <n v="54599997295"/>
    <x v="5"/>
  </r>
  <r>
    <n v="2018"/>
    <n v="9"/>
    <s v="USA"/>
    <s v="5 Series"/>
    <n v="12074"/>
    <n v="63215"/>
    <n v="763257910"/>
    <n v="1.4E-2"/>
    <n v="19.600000000000001"/>
    <n v="1.64"/>
    <m/>
    <m/>
    <s v="Low Growth"/>
    <n v="54599997295"/>
    <x v="5"/>
  </r>
  <r>
    <n v="2018"/>
    <n v="9"/>
    <s v="USA"/>
    <s v="X3"/>
    <n v="10654"/>
    <n v="56987"/>
    <n v="607139498"/>
    <n v="3.4000000000000002E-2"/>
    <n v="19.600000000000001"/>
    <n v="1.64"/>
    <m/>
    <m/>
    <s v="High Growth"/>
    <n v="54599997295"/>
    <x v="5"/>
  </r>
  <r>
    <n v="2018"/>
    <n v="9"/>
    <s v="USA"/>
    <s v="X5"/>
    <n v="8505"/>
    <n v="69161"/>
    <n v="588214305"/>
    <n v="-7.0000000000000001E-3"/>
    <n v="19.600000000000001"/>
    <n v="1.64"/>
    <m/>
    <m/>
    <s v="Low Growth"/>
    <n v="54599997295"/>
    <x v="5"/>
  </r>
  <r>
    <n v="2018"/>
    <n v="9"/>
    <s v="USA"/>
    <s v="X7"/>
    <n v="9126"/>
    <n v="93335"/>
    <n v="851775210"/>
    <n v="1.6E-2"/>
    <n v="19.600000000000001"/>
    <n v="1.64"/>
    <m/>
    <m/>
    <s v="Low Growth"/>
    <n v="54599997295"/>
    <x v="5"/>
  </r>
  <r>
    <n v="2018"/>
    <n v="9"/>
    <s v="USA"/>
    <s v="i4"/>
    <n v="11591"/>
    <n v="66714"/>
    <n v="773281974"/>
    <n v="2.1999999999999999E-2"/>
    <n v="19.600000000000001"/>
    <n v="1.64"/>
    <m/>
    <m/>
    <s v="Low Growth"/>
    <n v="54599997295"/>
    <x v="5"/>
  </r>
  <r>
    <n v="2018"/>
    <n v="9"/>
    <s v="USA"/>
    <s v="iX"/>
    <n v="8110"/>
    <n v="76451"/>
    <n v="620017610"/>
    <n v="2.8000000000000001E-2"/>
    <n v="19.600000000000001"/>
    <n v="1.64"/>
    <m/>
    <m/>
    <s v="Low Growth"/>
    <n v="54599997295"/>
    <x v="5"/>
  </r>
  <r>
    <n v="2018"/>
    <n v="9"/>
    <s v="USA"/>
    <s v="MINI"/>
    <n v="2809"/>
    <n v="43547"/>
    <n v="122323523"/>
    <n v="7.0000000000000001E-3"/>
    <n v="19.600000000000001"/>
    <n v="1.64"/>
    <m/>
    <m/>
    <s v="Low Growth"/>
    <n v="54599997295"/>
    <x v="5"/>
  </r>
  <r>
    <n v="2018"/>
    <n v="9"/>
    <s v="RestOfWorld"/>
    <s v="3 Series"/>
    <n v="12120"/>
    <n v="48626"/>
    <n v="589347120"/>
    <n v="2.1000000000000001E-2"/>
    <n v="5.51"/>
    <n v="4.22"/>
    <m/>
    <m/>
    <s v="Low Growth"/>
    <n v="55528754190"/>
    <x v="5"/>
  </r>
  <r>
    <n v="2018"/>
    <n v="9"/>
    <s v="RestOfWorld"/>
    <s v="5 Series"/>
    <n v="10689"/>
    <n v="63680"/>
    <n v="680675520"/>
    <n v="1.9E-2"/>
    <n v="5.51"/>
    <n v="4.22"/>
    <m/>
    <m/>
    <s v="Low Growth"/>
    <n v="55528754190"/>
    <x v="5"/>
  </r>
  <r>
    <n v="2018"/>
    <n v="9"/>
    <s v="RestOfWorld"/>
    <s v="X3"/>
    <n v="6792"/>
    <n v="58143"/>
    <n v="394907256"/>
    <n v="1.6E-2"/>
    <n v="5.51"/>
    <n v="4.22"/>
    <m/>
    <m/>
    <s v="Low Growth"/>
    <n v="55528754190"/>
    <x v="5"/>
  </r>
  <r>
    <n v="2018"/>
    <n v="9"/>
    <s v="RestOfWorld"/>
    <s v="X5"/>
    <n v="8477"/>
    <n v="70149"/>
    <n v="594653073"/>
    <n v="1.7999999999999999E-2"/>
    <n v="5.51"/>
    <n v="4.22"/>
    <m/>
    <m/>
    <s v="Low Growth"/>
    <n v="55528754190"/>
    <x v="5"/>
  </r>
  <r>
    <n v="2018"/>
    <n v="9"/>
    <s v="RestOfWorld"/>
    <s v="X7"/>
    <n v="5541"/>
    <n v="90822"/>
    <n v="503244702"/>
    <n v="1.7000000000000001E-2"/>
    <n v="5.51"/>
    <n v="4.22"/>
    <m/>
    <m/>
    <s v="Low Growth"/>
    <n v="55528754190"/>
    <x v="5"/>
  </r>
  <r>
    <n v="2018"/>
    <n v="9"/>
    <s v="RestOfWorld"/>
    <s v="i4"/>
    <n v="3787"/>
    <n v="65001"/>
    <n v="246158787"/>
    <n v="8.9999999999999993E-3"/>
    <n v="5.51"/>
    <n v="4.22"/>
    <m/>
    <m/>
    <s v="Low Growth"/>
    <n v="55528754190"/>
    <x v="5"/>
  </r>
  <r>
    <n v="2018"/>
    <n v="9"/>
    <s v="RestOfWorld"/>
    <s v="iX"/>
    <n v="9515"/>
    <n v="76156"/>
    <n v="724624340"/>
    <n v="3.4000000000000002E-2"/>
    <n v="5.51"/>
    <n v="4.22"/>
    <m/>
    <m/>
    <s v="High Growth"/>
    <n v="55528754190"/>
    <x v="5"/>
  </r>
  <r>
    <n v="2018"/>
    <n v="9"/>
    <s v="RestOfWorld"/>
    <s v="MINI"/>
    <n v="7416"/>
    <n v="43695"/>
    <n v="324042120"/>
    <n v="2.8000000000000001E-2"/>
    <n v="5.51"/>
    <n v="4.22"/>
    <m/>
    <m/>
    <s v="Low Growth"/>
    <n v="55528754190"/>
    <x v="5"/>
  </r>
  <r>
    <n v="2018"/>
    <n v="10"/>
    <s v="Europe"/>
    <s v="3 Series"/>
    <n v="10644"/>
    <n v="49594"/>
    <n v="527878536"/>
    <n v="2.1999999999999999E-2"/>
    <n v="16.95"/>
    <n v="3.33"/>
    <m/>
    <m/>
    <s v="Low Growth"/>
    <n v="56325491359"/>
    <x v="6"/>
  </r>
  <r>
    <n v="2018"/>
    <n v="10"/>
    <s v="Europe"/>
    <s v="5 Series"/>
    <n v="6973"/>
    <n v="63070"/>
    <n v="439787110"/>
    <n v="2.7E-2"/>
    <n v="16.95"/>
    <n v="3.33"/>
    <m/>
    <m/>
    <s v="Low Growth"/>
    <n v="56325491359"/>
    <x v="6"/>
  </r>
  <r>
    <n v="2018"/>
    <n v="10"/>
    <s v="Europe"/>
    <s v="X3"/>
    <n v="3713"/>
    <n v="57555"/>
    <n v="213701715"/>
    <n v="1.7000000000000001E-2"/>
    <n v="16.95"/>
    <n v="3.33"/>
    <m/>
    <m/>
    <s v="Low Growth"/>
    <n v="56325491359"/>
    <x v="6"/>
  </r>
  <r>
    <n v="2018"/>
    <n v="10"/>
    <s v="Europe"/>
    <s v="X5"/>
    <n v="3138"/>
    <n v="67933"/>
    <n v="213173754"/>
    <n v="1.9E-2"/>
    <n v="16.95"/>
    <n v="3.33"/>
    <m/>
    <m/>
    <s v="Low Growth"/>
    <n v="56325491359"/>
    <x v="6"/>
  </r>
  <r>
    <n v="2018"/>
    <n v="10"/>
    <s v="Europe"/>
    <s v="X7"/>
    <n v="3590"/>
    <n v="92987"/>
    <n v="333823330"/>
    <n v="-1E-3"/>
    <n v="16.95"/>
    <n v="3.33"/>
    <m/>
    <m/>
    <s v="Low Growth"/>
    <n v="56325491359"/>
    <x v="6"/>
  </r>
  <r>
    <n v="2018"/>
    <n v="10"/>
    <s v="Europe"/>
    <s v="i4"/>
    <n v="8061"/>
    <n v="64523"/>
    <n v="520119903"/>
    <n v="3.6999999999999998E-2"/>
    <n v="16.95"/>
    <n v="3.33"/>
    <m/>
    <m/>
    <s v="High Growth"/>
    <n v="56325491359"/>
    <x v="6"/>
  </r>
  <r>
    <n v="2018"/>
    <n v="10"/>
    <s v="Europe"/>
    <s v="iX"/>
    <n v="3692"/>
    <n v="73127"/>
    <n v="269984884"/>
    <n v="0.03"/>
    <n v="16.95"/>
    <n v="3.33"/>
    <m/>
    <m/>
    <s v="Low Growth"/>
    <n v="56325491359"/>
    <x v="6"/>
  </r>
  <r>
    <n v="2018"/>
    <n v="10"/>
    <s v="Europe"/>
    <s v="MINI"/>
    <n v="6964"/>
    <n v="42768"/>
    <n v="297836352"/>
    <n v="0.02"/>
    <n v="16.95"/>
    <n v="3.33"/>
    <m/>
    <m/>
    <s v="Low Growth"/>
    <n v="56325491359"/>
    <x v="6"/>
  </r>
  <r>
    <n v="2018"/>
    <n v="10"/>
    <s v="China"/>
    <s v="3 Series"/>
    <n v="6206"/>
    <n v="47781"/>
    <n v="296528886"/>
    <n v="7.0000000000000001E-3"/>
    <n v="19.190000000000001"/>
    <n v="5.28"/>
    <m/>
    <m/>
    <s v="Low Growth"/>
    <n v="58905926051"/>
    <x v="6"/>
  </r>
  <r>
    <n v="2018"/>
    <n v="10"/>
    <s v="China"/>
    <s v="5 Series"/>
    <n v="3610"/>
    <n v="63306"/>
    <n v="228534660"/>
    <n v="2.7E-2"/>
    <n v="19.190000000000001"/>
    <n v="5.28"/>
    <m/>
    <m/>
    <s v="Low Growth"/>
    <n v="58905926051"/>
    <x v="6"/>
  </r>
  <r>
    <n v="2018"/>
    <n v="10"/>
    <s v="China"/>
    <s v="X3"/>
    <n v="4788"/>
    <n v="59180"/>
    <n v="283353840"/>
    <n v="0.02"/>
    <n v="19.190000000000001"/>
    <n v="5.28"/>
    <m/>
    <m/>
    <s v="Low Growth"/>
    <n v="58905926051"/>
    <x v="6"/>
  </r>
  <r>
    <n v="2018"/>
    <n v="10"/>
    <s v="China"/>
    <s v="X5"/>
    <n v="10921"/>
    <n v="67074"/>
    <n v="732515154"/>
    <n v="2.3E-2"/>
    <n v="19.190000000000001"/>
    <n v="5.28"/>
    <m/>
    <m/>
    <s v="Low Growth"/>
    <n v="58905926051"/>
    <x v="6"/>
  </r>
  <r>
    <n v="2018"/>
    <n v="10"/>
    <s v="China"/>
    <s v="X7"/>
    <n v="9006"/>
    <n v="93088"/>
    <n v="838350528"/>
    <n v="4.0000000000000001E-3"/>
    <n v="19.190000000000001"/>
    <n v="5.28"/>
    <m/>
    <m/>
    <s v="Low Growth"/>
    <n v="58905926051"/>
    <x v="6"/>
  </r>
  <r>
    <n v="2018"/>
    <n v="10"/>
    <s v="China"/>
    <s v="i4"/>
    <n v="7881"/>
    <n v="66224"/>
    <n v="521911344"/>
    <n v="2.5999999999999999E-2"/>
    <n v="19.190000000000001"/>
    <n v="5.28"/>
    <m/>
    <m/>
    <s v="Low Growth"/>
    <n v="58905926051"/>
    <x v="6"/>
  </r>
  <r>
    <n v="2018"/>
    <n v="10"/>
    <s v="China"/>
    <s v="iX"/>
    <n v="9158"/>
    <n v="76945"/>
    <n v="704662310"/>
    <n v="1.4999999999999999E-2"/>
    <n v="19.190000000000001"/>
    <n v="5.28"/>
    <m/>
    <m/>
    <s v="Low Growth"/>
    <n v="58905926051"/>
    <x v="6"/>
  </r>
  <r>
    <n v="2018"/>
    <n v="10"/>
    <s v="China"/>
    <s v="MINI"/>
    <n v="2698"/>
    <n v="42074"/>
    <n v="113515652"/>
    <n v="2.5000000000000001E-2"/>
    <n v="19.190000000000001"/>
    <n v="5.28"/>
    <m/>
    <m/>
    <s v="Low Growth"/>
    <n v="58905926051"/>
    <x v="6"/>
  </r>
  <r>
    <n v="2018"/>
    <n v="10"/>
    <s v="USA"/>
    <s v="3 Series"/>
    <n v="10588"/>
    <n v="49028"/>
    <n v="519108464"/>
    <n v="3.2000000000000001E-2"/>
    <n v="18.66"/>
    <n v="4.62"/>
    <m/>
    <m/>
    <s v="High Growth"/>
    <n v="54599997295"/>
    <x v="6"/>
  </r>
  <r>
    <n v="2018"/>
    <n v="10"/>
    <s v="USA"/>
    <s v="5 Series"/>
    <n v="9635"/>
    <n v="60701"/>
    <n v="584854135"/>
    <n v="2.3E-2"/>
    <n v="18.66"/>
    <n v="4.62"/>
    <m/>
    <m/>
    <s v="Low Growth"/>
    <n v="54599997295"/>
    <x v="6"/>
  </r>
  <r>
    <n v="2018"/>
    <n v="10"/>
    <s v="USA"/>
    <s v="X3"/>
    <n v="4921"/>
    <n v="57845"/>
    <n v="284655245"/>
    <n v="1E-3"/>
    <n v="18.66"/>
    <n v="4.62"/>
    <m/>
    <m/>
    <s v="Low Growth"/>
    <n v="54599997295"/>
    <x v="6"/>
  </r>
  <r>
    <n v="2018"/>
    <n v="10"/>
    <s v="USA"/>
    <s v="X5"/>
    <n v="3691"/>
    <n v="70776"/>
    <n v="261234216"/>
    <n v="0.01"/>
    <n v="18.66"/>
    <n v="4.62"/>
    <m/>
    <m/>
    <s v="Low Growth"/>
    <n v="54599997295"/>
    <x v="6"/>
  </r>
  <r>
    <n v="2018"/>
    <n v="10"/>
    <s v="USA"/>
    <s v="X7"/>
    <n v="5097"/>
    <n v="90028"/>
    <n v="458872716"/>
    <n v="2.1000000000000001E-2"/>
    <n v="18.66"/>
    <n v="4.62"/>
    <m/>
    <m/>
    <s v="Low Growth"/>
    <n v="54599997295"/>
    <x v="6"/>
  </r>
  <r>
    <n v="2018"/>
    <n v="10"/>
    <s v="USA"/>
    <s v="i4"/>
    <n v="10298"/>
    <n v="66850"/>
    <n v="688421300"/>
    <n v="1.7999999999999999E-2"/>
    <n v="18.66"/>
    <n v="4.62"/>
    <m/>
    <m/>
    <s v="Low Growth"/>
    <n v="54599997295"/>
    <x v="6"/>
  </r>
  <r>
    <n v="2018"/>
    <n v="10"/>
    <s v="USA"/>
    <s v="iX"/>
    <n v="7519"/>
    <n v="73186"/>
    <n v="550285534"/>
    <n v="2.8000000000000001E-2"/>
    <n v="18.66"/>
    <n v="4.62"/>
    <m/>
    <m/>
    <s v="Low Growth"/>
    <n v="54599997295"/>
    <x v="6"/>
  </r>
  <r>
    <n v="2018"/>
    <n v="10"/>
    <s v="USA"/>
    <s v="MINI"/>
    <n v="11344"/>
    <n v="41333"/>
    <n v="468881552"/>
    <n v="1.9E-2"/>
    <n v="18.66"/>
    <n v="4.62"/>
    <m/>
    <m/>
    <s v="Low Growth"/>
    <n v="54599997295"/>
    <x v="6"/>
  </r>
  <r>
    <n v="2018"/>
    <n v="10"/>
    <s v="RestOfWorld"/>
    <s v="3 Series"/>
    <n v="8276"/>
    <n v="46750"/>
    <n v="386903000"/>
    <n v="2E-3"/>
    <n v="6.87"/>
    <n v="5.08"/>
    <m/>
    <m/>
    <s v="Low Growth"/>
    <n v="55528754190"/>
    <x v="6"/>
  </r>
  <r>
    <n v="2018"/>
    <n v="10"/>
    <s v="RestOfWorld"/>
    <s v="5 Series"/>
    <n v="4048"/>
    <n v="63315"/>
    <n v="256299120"/>
    <n v="1.9E-2"/>
    <n v="6.87"/>
    <n v="5.08"/>
    <m/>
    <m/>
    <s v="Low Growth"/>
    <n v="55528754190"/>
    <x v="6"/>
  </r>
  <r>
    <n v="2018"/>
    <n v="10"/>
    <s v="RestOfWorld"/>
    <s v="X3"/>
    <n v="9120"/>
    <n v="58120"/>
    <n v="530054400"/>
    <n v="1.4999999999999999E-2"/>
    <n v="6.87"/>
    <n v="5.08"/>
    <m/>
    <m/>
    <s v="Low Growth"/>
    <n v="55528754190"/>
    <x v="6"/>
  </r>
  <r>
    <n v="2018"/>
    <n v="10"/>
    <s v="RestOfWorld"/>
    <s v="X5"/>
    <n v="4600"/>
    <n v="68040"/>
    <n v="312984000"/>
    <n v="4.2999999999999997E-2"/>
    <n v="6.87"/>
    <n v="5.08"/>
    <m/>
    <m/>
    <s v="High Growth"/>
    <n v="55528754190"/>
    <x v="6"/>
  </r>
  <r>
    <n v="2018"/>
    <n v="10"/>
    <s v="RestOfWorld"/>
    <s v="X7"/>
    <n v="7847"/>
    <n v="92089"/>
    <n v="722622383"/>
    <n v="0.04"/>
    <n v="6.87"/>
    <n v="5.08"/>
    <m/>
    <m/>
    <s v="High Growth"/>
    <n v="55528754190"/>
    <x v="6"/>
  </r>
  <r>
    <n v="2018"/>
    <n v="10"/>
    <s v="RestOfWorld"/>
    <s v="i4"/>
    <n v="9946"/>
    <n v="63130"/>
    <n v="627890980"/>
    <n v="0.02"/>
    <n v="6.87"/>
    <n v="5.08"/>
    <m/>
    <m/>
    <s v="Low Growth"/>
    <n v="55528754190"/>
    <x v="6"/>
  </r>
  <r>
    <n v="2018"/>
    <n v="10"/>
    <s v="RestOfWorld"/>
    <s v="iX"/>
    <n v="3564"/>
    <n v="75864"/>
    <n v="270379296"/>
    <n v="0.03"/>
    <n v="6.87"/>
    <n v="5.08"/>
    <m/>
    <m/>
    <s v="Low Growth"/>
    <n v="55528754190"/>
    <x v="6"/>
  </r>
  <r>
    <n v="2018"/>
    <n v="10"/>
    <s v="RestOfWorld"/>
    <s v="MINI"/>
    <n v="5228"/>
    <n v="41040"/>
    <n v="214557120"/>
    <n v="1.4E-2"/>
    <n v="6.87"/>
    <n v="5.08"/>
    <m/>
    <m/>
    <s v="Low Growth"/>
    <n v="55528754190"/>
    <x v="6"/>
  </r>
  <r>
    <n v="2018"/>
    <n v="11"/>
    <s v="Europe"/>
    <s v="3 Series"/>
    <n v="3648"/>
    <n v="47508"/>
    <n v="173309184"/>
    <n v="3.3000000000000002E-2"/>
    <n v="15.3"/>
    <n v="2.93"/>
    <m/>
    <m/>
    <s v="High Growth"/>
    <n v="56325491359"/>
    <x v="7"/>
  </r>
  <r>
    <n v="2018"/>
    <n v="11"/>
    <s v="Europe"/>
    <s v="5 Series"/>
    <n v="4674"/>
    <n v="63023"/>
    <n v="294569502"/>
    <n v="2.7E-2"/>
    <n v="15.3"/>
    <n v="2.93"/>
    <m/>
    <m/>
    <s v="Low Growth"/>
    <n v="56325491359"/>
    <x v="7"/>
  </r>
  <r>
    <n v="2018"/>
    <n v="11"/>
    <s v="Europe"/>
    <s v="X3"/>
    <n v="10830"/>
    <n v="56488"/>
    <n v="611765040"/>
    <n v="3.4000000000000002E-2"/>
    <n v="15.3"/>
    <n v="2.93"/>
    <m/>
    <m/>
    <s v="High Growth"/>
    <n v="56325491359"/>
    <x v="7"/>
  </r>
  <r>
    <n v="2018"/>
    <n v="11"/>
    <s v="Europe"/>
    <s v="X5"/>
    <n v="10016"/>
    <n v="68561"/>
    <n v="686706976"/>
    <n v="0.03"/>
    <n v="15.3"/>
    <n v="2.93"/>
    <m/>
    <m/>
    <s v="Low Growth"/>
    <n v="56325491359"/>
    <x v="7"/>
  </r>
  <r>
    <n v="2018"/>
    <n v="11"/>
    <s v="Europe"/>
    <s v="X7"/>
    <n v="10201"/>
    <n v="90400"/>
    <n v="922170400"/>
    <n v="2.1000000000000001E-2"/>
    <n v="15.3"/>
    <n v="2.93"/>
    <m/>
    <m/>
    <s v="Low Growth"/>
    <n v="56325491359"/>
    <x v="7"/>
  </r>
  <r>
    <n v="2018"/>
    <n v="11"/>
    <s v="Europe"/>
    <s v="i4"/>
    <n v="7992"/>
    <n v="66028"/>
    <n v="527695776"/>
    <n v="1.4999999999999999E-2"/>
    <n v="15.3"/>
    <n v="2.93"/>
    <m/>
    <m/>
    <s v="Low Growth"/>
    <n v="56325491359"/>
    <x v="7"/>
  </r>
  <r>
    <n v="2018"/>
    <n v="11"/>
    <s v="Europe"/>
    <s v="iX"/>
    <n v="5374"/>
    <n v="75735"/>
    <n v="406999890"/>
    <n v="8.9999999999999993E-3"/>
    <n v="15.3"/>
    <n v="2.93"/>
    <m/>
    <m/>
    <s v="Low Growth"/>
    <n v="56325491359"/>
    <x v="7"/>
  </r>
  <r>
    <n v="2018"/>
    <n v="11"/>
    <s v="Europe"/>
    <s v="MINI"/>
    <n v="9981"/>
    <n v="41521"/>
    <n v="414421101"/>
    <n v="3.1E-2"/>
    <n v="15.3"/>
    <n v="2.93"/>
    <m/>
    <m/>
    <s v="High Growth"/>
    <n v="56325491359"/>
    <x v="7"/>
  </r>
  <r>
    <n v="2018"/>
    <n v="11"/>
    <s v="China"/>
    <s v="3 Series"/>
    <n v="4673"/>
    <n v="49561"/>
    <n v="231598553"/>
    <n v="1.4999999999999999E-2"/>
    <n v="19.22"/>
    <n v="4.3600000000000003"/>
    <m/>
    <m/>
    <s v="Low Growth"/>
    <n v="58905926051"/>
    <x v="7"/>
  </r>
  <r>
    <n v="2018"/>
    <n v="11"/>
    <s v="China"/>
    <s v="5 Series"/>
    <n v="2958"/>
    <n v="61296"/>
    <n v="181313568"/>
    <n v="2.9000000000000001E-2"/>
    <n v="19.22"/>
    <n v="4.3600000000000003"/>
    <m/>
    <m/>
    <s v="Low Growth"/>
    <n v="58905926051"/>
    <x v="7"/>
  </r>
  <r>
    <n v="2018"/>
    <n v="11"/>
    <s v="China"/>
    <s v="X3"/>
    <n v="9683"/>
    <n v="58235"/>
    <n v="563889505"/>
    <n v="6.0000000000000001E-3"/>
    <n v="19.22"/>
    <n v="4.3600000000000003"/>
    <m/>
    <m/>
    <s v="Low Growth"/>
    <n v="58905926051"/>
    <x v="7"/>
  </r>
  <r>
    <n v="2018"/>
    <n v="11"/>
    <s v="China"/>
    <s v="X5"/>
    <n v="9956"/>
    <n v="68121"/>
    <n v="678212676"/>
    <n v="2.5000000000000001E-2"/>
    <n v="19.22"/>
    <n v="4.3600000000000003"/>
    <m/>
    <m/>
    <s v="Low Growth"/>
    <n v="58905926051"/>
    <x v="7"/>
  </r>
  <r>
    <n v="2018"/>
    <n v="11"/>
    <s v="China"/>
    <s v="X7"/>
    <n v="2498"/>
    <n v="90182"/>
    <n v="225274636"/>
    <n v="0.01"/>
    <n v="19.22"/>
    <n v="4.3600000000000003"/>
    <m/>
    <m/>
    <s v="Low Growth"/>
    <n v="58905926051"/>
    <x v="7"/>
  </r>
  <r>
    <n v="2018"/>
    <n v="11"/>
    <s v="China"/>
    <s v="i4"/>
    <n v="9144"/>
    <n v="63363"/>
    <n v="579391272"/>
    <n v="3.3000000000000002E-2"/>
    <n v="19.22"/>
    <n v="4.3600000000000003"/>
    <m/>
    <m/>
    <s v="High Growth"/>
    <n v="58905926051"/>
    <x v="7"/>
  </r>
  <r>
    <n v="2018"/>
    <n v="11"/>
    <s v="China"/>
    <s v="iX"/>
    <n v="10193"/>
    <n v="74372"/>
    <n v="758073796"/>
    <n v="2.4E-2"/>
    <n v="19.22"/>
    <n v="4.3600000000000003"/>
    <m/>
    <m/>
    <s v="Low Growth"/>
    <n v="58905926051"/>
    <x v="7"/>
  </r>
  <r>
    <n v="2018"/>
    <n v="11"/>
    <s v="China"/>
    <s v="MINI"/>
    <n v="3249"/>
    <n v="43468"/>
    <n v="141227532"/>
    <n v="1E-3"/>
    <n v="19.22"/>
    <n v="4.3600000000000003"/>
    <m/>
    <m/>
    <s v="Low Growth"/>
    <n v="58905926051"/>
    <x v="7"/>
  </r>
  <r>
    <n v="2018"/>
    <n v="11"/>
    <s v="USA"/>
    <s v="3 Series"/>
    <n v="10451"/>
    <n v="46250"/>
    <n v="483358750"/>
    <n v="2.3E-2"/>
    <n v="18.309999999999999"/>
    <n v="3.87"/>
    <m/>
    <m/>
    <s v="Low Growth"/>
    <n v="54599997295"/>
    <x v="7"/>
  </r>
  <r>
    <n v="2018"/>
    <n v="11"/>
    <s v="USA"/>
    <s v="5 Series"/>
    <n v="5994"/>
    <n v="61914"/>
    <n v="371112516"/>
    <n v="0.02"/>
    <n v="18.309999999999999"/>
    <n v="3.87"/>
    <m/>
    <m/>
    <s v="Low Growth"/>
    <n v="54599997295"/>
    <x v="7"/>
  </r>
  <r>
    <n v="2018"/>
    <n v="11"/>
    <s v="USA"/>
    <s v="X3"/>
    <n v="9220"/>
    <n v="57771"/>
    <n v="532648620"/>
    <n v="4.5999999999999999E-2"/>
    <n v="18.309999999999999"/>
    <n v="3.87"/>
    <m/>
    <m/>
    <s v="High Growth"/>
    <n v="54599997295"/>
    <x v="7"/>
  </r>
  <r>
    <n v="2018"/>
    <n v="11"/>
    <s v="USA"/>
    <s v="X5"/>
    <n v="11356"/>
    <n v="69424"/>
    <n v="788378944"/>
    <n v="1.2999999999999999E-2"/>
    <n v="18.309999999999999"/>
    <n v="3.87"/>
    <m/>
    <m/>
    <s v="Low Growth"/>
    <n v="54599997295"/>
    <x v="7"/>
  </r>
  <r>
    <n v="2018"/>
    <n v="11"/>
    <s v="USA"/>
    <s v="X7"/>
    <n v="6517"/>
    <n v="90339"/>
    <n v="588739263"/>
    <n v="1.7000000000000001E-2"/>
    <n v="18.309999999999999"/>
    <n v="3.87"/>
    <m/>
    <m/>
    <s v="Low Growth"/>
    <n v="54599997295"/>
    <x v="7"/>
  </r>
  <r>
    <n v="2018"/>
    <n v="11"/>
    <s v="USA"/>
    <s v="i4"/>
    <n v="5947"/>
    <n v="65050"/>
    <n v="386852350"/>
    <n v="1.2999999999999999E-2"/>
    <n v="18.309999999999999"/>
    <n v="3.87"/>
    <m/>
    <m/>
    <s v="Low Growth"/>
    <n v="54599997295"/>
    <x v="7"/>
  </r>
  <r>
    <n v="2018"/>
    <n v="11"/>
    <s v="USA"/>
    <s v="iX"/>
    <n v="3481"/>
    <n v="73145"/>
    <n v="254617745"/>
    <n v="2.8000000000000001E-2"/>
    <n v="18.309999999999999"/>
    <n v="3.87"/>
    <m/>
    <m/>
    <s v="Low Growth"/>
    <n v="54599997295"/>
    <x v="7"/>
  </r>
  <r>
    <n v="2018"/>
    <n v="11"/>
    <s v="USA"/>
    <s v="MINI"/>
    <n v="6543"/>
    <n v="43736"/>
    <n v="286164648"/>
    <n v="1.4999999999999999E-2"/>
    <n v="18.309999999999999"/>
    <n v="3.87"/>
    <m/>
    <m/>
    <s v="Low Growth"/>
    <n v="54599997295"/>
    <x v="7"/>
  </r>
  <r>
    <n v="2018"/>
    <n v="11"/>
    <s v="RestOfWorld"/>
    <s v="3 Series"/>
    <n v="6644"/>
    <n v="49211"/>
    <n v="326957884"/>
    <n v="3.5999999999999997E-2"/>
    <n v="5.09"/>
    <n v="3.46"/>
    <m/>
    <m/>
    <s v="High Growth"/>
    <n v="55528754190"/>
    <x v="7"/>
  </r>
  <r>
    <n v="2018"/>
    <n v="11"/>
    <s v="RestOfWorld"/>
    <s v="5 Series"/>
    <n v="4111"/>
    <n v="62108"/>
    <n v="255325988"/>
    <n v="0.01"/>
    <n v="5.09"/>
    <n v="3.46"/>
    <m/>
    <m/>
    <s v="Low Growth"/>
    <n v="55528754190"/>
    <x v="7"/>
  </r>
  <r>
    <n v="2018"/>
    <n v="11"/>
    <s v="RestOfWorld"/>
    <s v="X3"/>
    <n v="11048"/>
    <n v="59390"/>
    <n v="656140720"/>
    <n v="2.3E-2"/>
    <n v="5.09"/>
    <n v="3.46"/>
    <m/>
    <m/>
    <s v="Low Growth"/>
    <n v="55528754190"/>
    <x v="7"/>
  </r>
  <r>
    <n v="2018"/>
    <n v="11"/>
    <s v="RestOfWorld"/>
    <s v="X5"/>
    <n v="10166"/>
    <n v="68085"/>
    <n v="692152110"/>
    <n v="2.1000000000000001E-2"/>
    <n v="5.09"/>
    <n v="3.46"/>
    <m/>
    <m/>
    <s v="Low Growth"/>
    <n v="55528754190"/>
    <x v="7"/>
  </r>
  <r>
    <n v="2018"/>
    <n v="11"/>
    <s v="RestOfWorld"/>
    <s v="X7"/>
    <n v="4149"/>
    <n v="93932"/>
    <n v="389723868"/>
    <n v="1.9E-2"/>
    <n v="5.09"/>
    <n v="3.46"/>
    <m/>
    <m/>
    <s v="Low Growth"/>
    <n v="55528754190"/>
    <x v="7"/>
  </r>
  <r>
    <n v="2018"/>
    <n v="11"/>
    <s v="RestOfWorld"/>
    <s v="i4"/>
    <n v="7532"/>
    <n v="63884"/>
    <n v="481174288"/>
    <n v="1.2999999999999999E-2"/>
    <n v="5.09"/>
    <n v="3.46"/>
    <m/>
    <m/>
    <s v="Low Growth"/>
    <n v="55528754190"/>
    <x v="7"/>
  </r>
  <r>
    <n v="2018"/>
    <n v="11"/>
    <s v="RestOfWorld"/>
    <s v="iX"/>
    <n v="5760"/>
    <n v="75553"/>
    <n v="435185280"/>
    <n v="1.6E-2"/>
    <n v="5.09"/>
    <n v="3.46"/>
    <m/>
    <m/>
    <s v="Low Growth"/>
    <n v="55528754190"/>
    <x v="7"/>
  </r>
  <r>
    <n v="2018"/>
    <n v="11"/>
    <s v="RestOfWorld"/>
    <s v="MINI"/>
    <n v="8456"/>
    <n v="41911"/>
    <n v="354399416"/>
    <n v="1.9E-2"/>
    <n v="5.09"/>
    <n v="3.46"/>
    <m/>
    <m/>
    <s v="Low Growth"/>
    <n v="55528754190"/>
    <x v="7"/>
  </r>
  <r>
    <n v="2018"/>
    <n v="12"/>
    <s v="Europe"/>
    <s v="3 Series"/>
    <n v="5759"/>
    <n v="47776"/>
    <n v="275141984"/>
    <n v="4.4999999999999998E-2"/>
    <n v="20.78"/>
    <n v="2.5"/>
    <m/>
    <m/>
    <s v="High Growth"/>
    <n v="56325491359"/>
    <x v="8"/>
  </r>
  <r>
    <n v="2018"/>
    <n v="12"/>
    <s v="Europe"/>
    <s v="5 Series"/>
    <n v="11172"/>
    <n v="62466"/>
    <n v="697870152"/>
    <n v="2.5000000000000001E-2"/>
    <n v="20.78"/>
    <n v="2.5"/>
    <m/>
    <m/>
    <s v="Low Growth"/>
    <n v="56325491359"/>
    <x v="8"/>
  </r>
  <r>
    <n v="2018"/>
    <n v="12"/>
    <s v="Europe"/>
    <s v="X3"/>
    <n v="12695"/>
    <n v="56159"/>
    <n v="712938505"/>
    <n v="1.2E-2"/>
    <n v="20.78"/>
    <n v="2.5"/>
    <m/>
    <m/>
    <s v="Low Growth"/>
    <n v="56325491359"/>
    <x v="8"/>
  </r>
  <r>
    <n v="2018"/>
    <n v="12"/>
    <s v="Europe"/>
    <s v="X5"/>
    <n v="11446"/>
    <n v="67780"/>
    <n v="775809880"/>
    <n v="2.5000000000000001E-2"/>
    <n v="20.78"/>
    <n v="2.5"/>
    <m/>
    <m/>
    <s v="Low Growth"/>
    <n v="56325491359"/>
    <x v="8"/>
  </r>
  <r>
    <n v="2018"/>
    <n v="12"/>
    <s v="Europe"/>
    <s v="X7"/>
    <n v="10765"/>
    <n v="92682"/>
    <n v="997721730"/>
    <n v="-2E-3"/>
    <n v="20.78"/>
    <n v="2.5"/>
    <m/>
    <m/>
    <s v="Low Growth"/>
    <n v="56325491359"/>
    <x v="8"/>
  </r>
  <r>
    <n v="2018"/>
    <n v="12"/>
    <s v="Europe"/>
    <s v="i4"/>
    <n v="12846"/>
    <n v="66612"/>
    <n v="855697752"/>
    <n v="1.0999999999999999E-2"/>
    <n v="20.78"/>
    <n v="2.5"/>
    <m/>
    <m/>
    <s v="Low Growth"/>
    <n v="56325491359"/>
    <x v="8"/>
  </r>
  <r>
    <n v="2018"/>
    <n v="12"/>
    <s v="Europe"/>
    <s v="iX"/>
    <n v="4089"/>
    <n v="76332"/>
    <n v="312121548"/>
    <n v="2.5000000000000001E-2"/>
    <n v="20.78"/>
    <n v="2.5"/>
    <m/>
    <m/>
    <s v="Low Growth"/>
    <n v="56325491359"/>
    <x v="8"/>
  </r>
  <r>
    <n v="2018"/>
    <n v="12"/>
    <s v="Europe"/>
    <s v="MINI"/>
    <n v="3799"/>
    <n v="43297"/>
    <n v="164485303"/>
    <n v="3.1E-2"/>
    <n v="20.78"/>
    <n v="2.5"/>
    <m/>
    <m/>
    <s v="High Growth"/>
    <n v="56325491359"/>
    <x v="8"/>
  </r>
  <r>
    <n v="2018"/>
    <n v="12"/>
    <s v="China"/>
    <s v="3 Series"/>
    <n v="7119"/>
    <n v="46036"/>
    <n v="327730284"/>
    <n v="0.02"/>
    <n v="15.82"/>
    <n v="1.25"/>
    <m/>
    <m/>
    <s v="Low Growth"/>
    <n v="58905926051"/>
    <x v="8"/>
  </r>
  <r>
    <n v="2018"/>
    <n v="12"/>
    <s v="China"/>
    <s v="5 Series"/>
    <n v="6072"/>
    <n v="60795"/>
    <n v="369147240"/>
    <n v="1.4E-2"/>
    <n v="15.82"/>
    <n v="1.25"/>
    <m/>
    <m/>
    <s v="Low Growth"/>
    <n v="58905926051"/>
    <x v="8"/>
  </r>
  <r>
    <n v="2018"/>
    <n v="12"/>
    <s v="China"/>
    <s v="X3"/>
    <n v="7189"/>
    <n v="58162"/>
    <n v="418126618"/>
    <n v="0.02"/>
    <n v="15.82"/>
    <n v="1.25"/>
    <m/>
    <m/>
    <s v="Low Growth"/>
    <n v="58905926051"/>
    <x v="8"/>
  </r>
  <r>
    <n v="2018"/>
    <n v="12"/>
    <s v="China"/>
    <s v="X5"/>
    <n v="5769"/>
    <n v="68346"/>
    <n v="394288074"/>
    <n v="0.03"/>
    <n v="15.82"/>
    <n v="1.25"/>
    <m/>
    <m/>
    <s v="Low Growth"/>
    <n v="58905926051"/>
    <x v="8"/>
  </r>
  <r>
    <n v="2018"/>
    <n v="12"/>
    <s v="China"/>
    <s v="X7"/>
    <n v="4500"/>
    <n v="91996"/>
    <n v="413982000"/>
    <n v="2.5000000000000001E-2"/>
    <n v="15.82"/>
    <n v="1.25"/>
    <m/>
    <m/>
    <s v="Low Growth"/>
    <n v="58905926051"/>
    <x v="8"/>
  </r>
  <r>
    <n v="2018"/>
    <n v="12"/>
    <s v="China"/>
    <s v="i4"/>
    <n v="4193"/>
    <n v="64285"/>
    <n v="269547005"/>
    <n v="0.04"/>
    <n v="15.82"/>
    <n v="1.25"/>
    <m/>
    <m/>
    <s v="High Growth"/>
    <n v="58905926051"/>
    <x v="8"/>
  </r>
  <r>
    <n v="2018"/>
    <n v="12"/>
    <s v="China"/>
    <s v="iX"/>
    <n v="7492"/>
    <n v="75400"/>
    <n v="564896800"/>
    <n v="2.5999999999999999E-2"/>
    <n v="15.82"/>
    <n v="1.25"/>
    <m/>
    <m/>
    <s v="Low Growth"/>
    <n v="58905926051"/>
    <x v="8"/>
  </r>
  <r>
    <n v="2018"/>
    <n v="12"/>
    <s v="China"/>
    <s v="MINI"/>
    <n v="4624"/>
    <n v="42828"/>
    <n v="198036672"/>
    <n v="3.1E-2"/>
    <n v="15.82"/>
    <n v="1.25"/>
    <m/>
    <m/>
    <s v="High Growth"/>
    <n v="58905926051"/>
    <x v="8"/>
  </r>
  <r>
    <n v="2018"/>
    <n v="12"/>
    <s v="USA"/>
    <s v="3 Series"/>
    <n v="7464"/>
    <n v="48180"/>
    <n v="359615520"/>
    <n v="1.0999999999999999E-2"/>
    <n v="18.760000000000002"/>
    <n v="3.5"/>
    <m/>
    <m/>
    <s v="Low Growth"/>
    <n v="54599997295"/>
    <x v="8"/>
  </r>
  <r>
    <n v="2018"/>
    <n v="12"/>
    <s v="USA"/>
    <s v="5 Series"/>
    <n v="3361"/>
    <n v="60825"/>
    <n v="204432825"/>
    <n v="2.5999999999999999E-2"/>
    <n v="18.760000000000002"/>
    <n v="3.5"/>
    <m/>
    <m/>
    <s v="Low Growth"/>
    <n v="54599997295"/>
    <x v="8"/>
  </r>
  <r>
    <n v="2018"/>
    <n v="12"/>
    <s v="USA"/>
    <s v="X3"/>
    <n v="5838"/>
    <n v="59741"/>
    <n v="348767958"/>
    <n v="1.6E-2"/>
    <n v="18.760000000000002"/>
    <n v="3.5"/>
    <m/>
    <m/>
    <s v="Low Growth"/>
    <n v="54599997295"/>
    <x v="8"/>
  </r>
  <r>
    <n v="2018"/>
    <n v="12"/>
    <s v="USA"/>
    <s v="X5"/>
    <n v="7147"/>
    <n v="69129"/>
    <n v="494064963"/>
    <n v="1.2E-2"/>
    <n v="18.760000000000002"/>
    <n v="3.5"/>
    <m/>
    <m/>
    <s v="Low Growth"/>
    <n v="54599997295"/>
    <x v="8"/>
  </r>
  <r>
    <n v="2018"/>
    <n v="12"/>
    <s v="USA"/>
    <s v="X7"/>
    <n v="5393"/>
    <n v="91547"/>
    <n v="493712971"/>
    <n v="3.5999999999999997E-2"/>
    <n v="18.760000000000002"/>
    <n v="3.5"/>
    <m/>
    <m/>
    <s v="High Growth"/>
    <n v="54599997295"/>
    <x v="8"/>
  </r>
  <r>
    <n v="2018"/>
    <n v="12"/>
    <s v="USA"/>
    <s v="i4"/>
    <n v="3073"/>
    <n v="64985"/>
    <n v="199698905"/>
    <n v="2.3E-2"/>
    <n v="18.760000000000002"/>
    <n v="3.5"/>
    <m/>
    <m/>
    <s v="Low Growth"/>
    <n v="54599997295"/>
    <x v="8"/>
  </r>
  <r>
    <n v="2018"/>
    <n v="12"/>
    <s v="USA"/>
    <s v="iX"/>
    <n v="8627"/>
    <n v="74256"/>
    <n v="640606512"/>
    <n v="1.7999999999999999E-2"/>
    <n v="18.760000000000002"/>
    <n v="3.5"/>
    <m/>
    <m/>
    <s v="Low Growth"/>
    <n v="54599997295"/>
    <x v="8"/>
  </r>
  <r>
    <n v="2018"/>
    <n v="12"/>
    <s v="USA"/>
    <s v="MINI"/>
    <n v="5020"/>
    <n v="40359"/>
    <n v="202602180"/>
    <n v="1.4E-2"/>
    <n v="18.760000000000002"/>
    <n v="3.5"/>
    <m/>
    <m/>
    <s v="Low Growth"/>
    <n v="54599997295"/>
    <x v="8"/>
  </r>
  <r>
    <n v="2018"/>
    <n v="12"/>
    <s v="RestOfWorld"/>
    <s v="3 Series"/>
    <n v="3857"/>
    <n v="46585"/>
    <n v="179678345"/>
    <n v="2.3E-2"/>
    <n v="6.08"/>
    <n v="3.75"/>
    <m/>
    <m/>
    <s v="Low Growth"/>
    <n v="55528754190"/>
    <x v="8"/>
  </r>
  <r>
    <n v="2018"/>
    <n v="12"/>
    <s v="RestOfWorld"/>
    <s v="5 Series"/>
    <n v="8637"/>
    <n v="61247"/>
    <n v="528990339"/>
    <n v="1.6E-2"/>
    <n v="6.08"/>
    <n v="3.75"/>
    <m/>
    <m/>
    <s v="Low Growth"/>
    <n v="55528754190"/>
    <x v="8"/>
  </r>
  <r>
    <n v="2018"/>
    <n v="12"/>
    <s v="RestOfWorld"/>
    <s v="X3"/>
    <n v="4328"/>
    <n v="56988"/>
    <n v="246644064"/>
    <n v="2.5999999999999999E-2"/>
    <n v="6.08"/>
    <n v="3.75"/>
    <m/>
    <m/>
    <s v="Low Growth"/>
    <n v="55528754190"/>
    <x v="8"/>
  </r>
  <r>
    <n v="2018"/>
    <n v="12"/>
    <s v="RestOfWorld"/>
    <s v="X5"/>
    <n v="3054"/>
    <n v="68219"/>
    <n v="208340826"/>
    <n v="2.1999999999999999E-2"/>
    <n v="6.08"/>
    <n v="3.75"/>
    <m/>
    <m/>
    <s v="Low Growth"/>
    <n v="55528754190"/>
    <x v="8"/>
  </r>
  <r>
    <n v="2018"/>
    <n v="12"/>
    <s v="RestOfWorld"/>
    <s v="X7"/>
    <n v="10514"/>
    <n v="90730"/>
    <n v="953935220"/>
    <n v="1.6E-2"/>
    <n v="6.08"/>
    <n v="3.75"/>
    <m/>
    <m/>
    <s v="Low Growth"/>
    <n v="55528754190"/>
    <x v="8"/>
  </r>
  <r>
    <n v="2018"/>
    <n v="12"/>
    <s v="RestOfWorld"/>
    <s v="i4"/>
    <n v="3894"/>
    <n v="65571"/>
    <n v="255333474"/>
    <n v="2.1999999999999999E-2"/>
    <n v="6.08"/>
    <n v="3.75"/>
    <m/>
    <m/>
    <s v="Low Growth"/>
    <n v="55528754190"/>
    <x v="8"/>
  </r>
  <r>
    <n v="2018"/>
    <n v="12"/>
    <s v="RestOfWorld"/>
    <s v="iX"/>
    <n v="12769"/>
    <n v="73021"/>
    <n v="932405149"/>
    <n v="1.7999999999999999E-2"/>
    <n v="6.08"/>
    <n v="3.75"/>
    <m/>
    <m/>
    <s v="Low Growth"/>
    <n v="55528754190"/>
    <x v="8"/>
  </r>
  <r>
    <n v="2018"/>
    <n v="12"/>
    <s v="RestOfWorld"/>
    <s v="MINI"/>
    <n v="7775"/>
    <n v="43191"/>
    <n v="335810025"/>
    <n v="3.7999999999999999E-2"/>
    <n v="6.08"/>
    <n v="3.75"/>
    <m/>
    <m/>
    <s v="High Growth"/>
    <n v="55528754190"/>
    <x v="8"/>
  </r>
  <r>
    <n v="2019"/>
    <n v="1"/>
    <s v="Europe"/>
    <s v="3 Series"/>
    <n v="7462"/>
    <n v="48506"/>
    <n v="361951772"/>
    <n v="5.6000000000000001E-2"/>
    <n v="19.309999999999999"/>
    <n v="2.44"/>
    <m/>
    <m/>
    <s v="High Growth"/>
    <n v="56325491359"/>
    <x v="9"/>
  </r>
  <r>
    <n v="2019"/>
    <n v="1"/>
    <s v="Europe"/>
    <s v="5 Series"/>
    <n v="5730"/>
    <n v="60515"/>
    <n v="346750950"/>
    <n v="0.04"/>
    <n v="19.309999999999999"/>
    <n v="2.44"/>
    <m/>
    <m/>
    <s v="High Growth"/>
    <n v="56325491359"/>
    <x v="9"/>
  </r>
  <r>
    <n v="2019"/>
    <n v="1"/>
    <s v="Europe"/>
    <s v="X3"/>
    <n v="9556"/>
    <n v="56886"/>
    <n v="543602616"/>
    <n v="3.3000000000000002E-2"/>
    <n v="19.309999999999999"/>
    <n v="2.44"/>
    <m/>
    <m/>
    <s v="High Growth"/>
    <n v="56325491359"/>
    <x v="9"/>
  </r>
  <r>
    <n v="2019"/>
    <n v="1"/>
    <s v="Europe"/>
    <s v="X5"/>
    <n v="5229"/>
    <n v="69204"/>
    <n v="361867716"/>
    <n v="4.2999999999999997E-2"/>
    <n v="19.309999999999999"/>
    <n v="2.44"/>
    <m/>
    <m/>
    <s v="High Growth"/>
    <n v="56325491359"/>
    <x v="9"/>
  </r>
  <r>
    <n v="2019"/>
    <n v="1"/>
    <s v="Europe"/>
    <s v="X7"/>
    <n v="3520"/>
    <n v="91562"/>
    <n v="322298240"/>
    <n v="5.6000000000000001E-2"/>
    <n v="19.309999999999999"/>
    <n v="2.44"/>
    <m/>
    <m/>
    <s v="High Growth"/>
    <n v="56325491359"/>
    <x v="9"/>
  </r>
  <r>
    <n v="2019"/>
    <n v="1"/>
    <s v="Europe"/>
    <s v="i4"/>
    <n v="6143"/>
    <n v="65896"/>
    <n v="404799128"/>
    <n v="5.8000000000000003E-2"/>
    <n v="19.309999999999999"/>
    <n v="2.44"/>
    <m/>
    <m/>
    <s v="High Growth"/>
    <n v="56325491359"/>
    <x v="9"/>
  </r>
  <r>
    <n v="2019"/>
    <n v="1"/>
    <s v="Europe"/>
    <s v="iX"/>
    <n v="3413"/>
    <n v="73083"/>
    <n v="249432279"/>
    <n v="4.3999999999999997E-2"/>
    <n v="19.309999999999999"/>
    <n v="2.44"/>
    <m/>
    <m/>
    <s v="High Growth"/>
    <n v="56325491359"/>
    <x v="9"/>
  </r>
  <r>
    <n v="2019"/>
    <n v="1"/>
    <s v="Europe"/>
    <s v="MINI"/>
    <n v="4092"/>
    <n v="41976"/>
    <n v="171765792"/>
    <n v="5.0999999999999997E-2"/>
    <n v="19.309999999999999"/>
    <n v="2.44"/>
    <m/>
    <m/>
    <s v="High Growth"/>
    <n v="56325491359"/>
    <x v="9"/>
  </r>
  <r>
    <n v="2019"/>
    <n v="1"/>
    <s v="China"/>
    <s v="3 Series"/>
    <n v="3359"/>
    <n v="47855"/>
    <n v="160744945"/>
    <n v="3.7999999999999999E-2"/>
    <n v="16.25"/>
    <n v="1.1499999999999999"/>
    <m/>
    <m/>
    <s v="High Growth"/>
    <n v="58905926051"/>
    <x v="9"/>
  </r>
  <r>
    <n v="2019"/>
    <n v="1"/>
    <s v="China"/>
    <s v="5 Series"/>
    <n v="5436"/>
    <n v="60792"/>
    <n v="330465312"/>
    <n v="3.7999999999999999E-2"/>
    <n v="16.25"/>
    <n v="1.1499999999999999"/>
    <m/>
    <m/>
    <s v="High Growth"/>
    <n v="58905926051"/>
    <x v="9"/>
  </r>
  <r>
    <n v="2019"/>
    <n v="1"/>
    <s v="China"/>
    <s v="X3"/>
    <n v="3220"/>
    <n v="58255"/>
    <n v="187581100"/>
    <n v="5.5E-2"/>
    <n v="16.25"/>
    <n v="1.1499999999999999"/>
    <m/>
    <m/>
    <s v="High Growth"/>
    <n v="58905926051"/>
    <x v="9"/>
  </r>
  <r>
    <n v="2019"/>
    <n v="1"/>
    <s v="China"/>
    <s v="X5"/>
    <n v="5978"/>
    <n v="68607"/>
    <n v="410132646"/>
    <n v="4.2000000000000003E-2"/>
    <n v="16.25"/>
    <n v="1.1499999999999999"/>
    <m/>
    <m/>
    <s v="High Growth"/>
    <n v="58905926051"/>
    <x v="9"/>
  </r>
  <r>
    <n v="2019"/>
    <n v="1"/>
    <s v="China"/>
    <s v="X7"/>
    <n v="7513"/>
    <n v="93380"/>
    <n v="701563940"/>
    <n v="4.8000000000000001E-2"/>
    <n v="16.25"/>
    <n v="1.1499999999999999"/>
    <m/>
    <m/>
    <s v="High Growth"/>
    <n v="58905926051"/>
    <x v="9"/>
  </r>
  <r>
    <n v="2019"/>
    <n v="1"/>
    <s v="China"/>
    <s v="i4"/>
    <n v="10969"/>
    <n v="63590"/>
    <n v="697518710"/>
    <n v="4.2999999999999997E-2"/>
    <n v="16.25"/>
    <n v="1.1499999999999999"/>
    <m/>
    <m/>
    <s v="High Growth"/>
    <n v="58905926051"/>
    <x v="9"/>
  </r>
  <r>
    <n v="2019"/>
    <n v="1"/>
    <s v="China"/>
    <s v="iX"/>
    <n v="3473"/>
    <n v="75434"/>
    <n v="261982282"/>
    <n v="0.05"/>
    <n v="16.25"/>
    <n v="1.1499999999999999"/>
    <m/>
    <m/>
    <s v="High Growth"/>
    <n v="58905926051"/>
    <x v="9"/>
  </r>
  <r>
    <n v="2019"/>
    <n v="1"/>
    <s v="China"/>
    <s v="MINI"/>
    <n v="3384"/>
    <n v="41963"/>
    <n v="142002792"/>
    <n v="5.0999999999999997E-2"/>
    <n v="16.25"/>
    <n v="1.1499999999999999"/>
    <m/>
    <m/>
    <s v="High Growth"/>
    <n v="58905926051"/>
    <x v="9"/>
  </r>
  <r>
    <n v="2019"/>
    <n v="1"/>
    <s v="USA"/>
    <s v="3 Series"/>
    <n v="4280"/>
    <n v="47016"/>
    <n v="201228480"/>
    <n v="3.1E-2"/>
    <n v="17.37"/>
    <n v="4.25"/>
    <m/>
    <m/>
    <s v="High Growth"/>
    <n v="54599997295"/>
    <x v="9"/>
  </r>
  <r>
    <n v="2019"/>
    <n v="1"/>
    <s v="USA"/>
    <s v="5 Series"/>
    <n v="9392"/>
    <n v="63902"/>
    <n v="600167584"/>
    <n v="4.2000000000000003E-2"/>
    <n v="17.37"/>
    <n v="4.25"/>
    <m/>
    <m/>
    <s v="High Growth"/>
    <n v="54599997295"/>
    <x v="9"/>
  </r>
  <r>
    <n v="2019"/>
    <n v="1"/>
    <s v="USA"/>
    <s v="X3"/>
    <n v="7445"/>
    <n v="56583"/>
    <n v="421260435"/>
    <n v="5.3999999999999999E-2"/>
    <n v="17.37"/>
    <n v="4.25"/>
    <m/>
    <m/>
    <s v="High Growth"/>
    <n v="54599997295"/>
    <x v="9"/>
  </r>
  <r>
    <n v="2019"/>
    <n v="1"/>
    <s v="USA"/>
    <s v="X5"/>
    <n v="10847"/>
    <n v="68087"/>
    <n v="738539689"/>
    <n v="2.8000000000000001E-2"/>
    <n v="17.37"/>
    <n v="4.25"/>
    <m/>
    <m/>
    <s v="Low Growth"/>
    <n v="54599997295"/>
    <x v="9"/>
  </r>
  <r>
    <n v="2019"/>
    <n v="1"/>
    <s v="USA"/>
    <s v="X7"/>
    <n v="6152"/>
    <n v="92013"/>
    <n v="566063976"/>
    <n v="4.3999999999999997E-2"/>
    <n v="17.37"/>
    <n v="4.25"/>
    <m/>
    <m/>
    <s v="High Growth"/>
    <n v="54599997295"/>
    <x v="9"/>
  </r>
  <r>
    <n v="2019"/>
    <n v="1"/>
    <s v="USA"/>
    <s v="i4"/>
    <n v="3805"/>
    <n v="66566"/>
    <n v="253283630"/>
    <n v="3.3000000000000002E-2"/>
    <n v="17.37"/>
    <n v="4.25"/>
    <m/>
    <m/>
    <s v="High Growth"/>
    <n v="54599997295"/>
    <x v="9"/>
  </r>
  <r>
    <n v="2019"/>
    <n v="1"/>
    <s v="USA"/>
    <s v="iX"/>
    <n v="10623"/>
    <n v="75848"/>
    <n v="805733304"/>
    <n v="5.5E-2"/>
    <n v="17.37"/>
    <n v="4.25"/>
    <m/>
    <m/>
    <s v="High Growth"/>
    <n v="54599997295"/>
    <x v="9"/>
  </r>
  <r>
    <n v="2019"/>
    <n v="1"/>
    <s v="USA"/>
    <s v="MINI"/>
    <n v="4445"/>
    <n v="40101"/>
    <n v="178248945"/>
    <n v="3.4000000000000002E-2"/>
    <n v="17.37"/>
    <n v="4.25"/>
    <m/>
    <m/>
    <s v="High Growth"/>
    <n v="54599997295"/>
    <x v="9"/>
  </r>
  <r>
    <n v="2019"/>
    <n v="1"/>
    <s v="RestOfWorld"/>
    <s v="3 Series"/>
    <n v="9032"/>
    <n v="49731"/>
    <n v="449170392"/>
    <n v="6.9000000000000006E-2"/>
    <n v="6.5"/>
    <n v="3.26"/>
    <m/>
    <m/>
    <s v="High Growth"/>
    <n v="55528754190"/>
    <x v="9"/>
  </r>
  <r>
    <n v="2019"/>
    <n v="1"/>
    <s v="RestOfWorld"/>
    <s v="5 Series"/>
    <n v="5107"/>
    <n v="60713"/>
    <n v="310061291"/>
    <n v="4.4999999999999998E-2"/>
    <n v="6.5"/>
    <n v="3.26"/>
    <m/>
    <m/>
    <s v="High Growth"/>
    <n v="55528754190"/>
    <x v="9"/>
  </r>
  <r>
    <n v="2019"/>
    <n v="1"/>
    <s v="RestOfWorld"/>
    <s v="X3"/>
    <n v="11377"/>
    <n v="57949"/>
    <n v="659285773"/>
    <n v="3.5999999999999997E-2"/>
    <n v="6.5"/>
    <n v="3.26"/>
    <m/>
    <m/>
    <s v="High Growth"/>
    <n v="55528754190"/>
    <x v="9"/>
  </r>
  <r>
    <n v="2019"/>
    <n v="1"/>
    <s v="RestOfWorld"/>
    <s v="X5"/>
    <n v="9033"/>
    <n v="69163"/>
    <n v="624749379"/>
    <n v="4.4999999999999998E-2"/>
    <n v="6.5"/>
    <n v="3.26"/>
    <m/>
    <m/>
    <s v="High Growth"/>
    <n v="55528754190"/>
    <x v="9"/>
  </r>
  <r>
    <n v="2019"/>
    <n v="1"/>
    <s v="RestOfWorld"/>
    <s v="X7"/>
    <n v="10110"/>
    <n v="92918"/>
    <n v="939400980"/>
    <n v="3.5000000000000003E-2"/>
    <n v="6.5"/>
    <n v="3.26"/>
    <m/>
    <m/>
    <s v="High Growth"/>
    <n v="55528754190"/>
    <x v="9"/>
  </r>
  <r>
    <n v="2019"/>
    <n v="1"/>
    <s v="RestOfWorld"/>
    <s v="i4"/>
    <n v="2533"/>
    <n v="64709"/>
    <n v="163907897"/>
    <n v="4.2000000000000003E-2"/>
    <n v="6.5"/>
    <n v="3.26"/>
    <m/>
    <m/>
    <s v="High Growth"/>
    <n v="55528754190"/>
    <x v="9"/>
  </r>
  <r>
    <n v="2019"/>
    <n v="1"/>
    <s v="RestOfWorld"/>
    <s v="iX"/>
    <n v="5421"/>
    <n v="74895"/>
    <n v="406005795"/>
    <n v="4.5999999999999999E-2"/>
    <n v="6.5"/>
    <n v="3.26"/>
    <m/>
    <m/>
    <s v="High Growth"/>
    <n v="55528754190"/>
    <x v="9"/>
  </r>
  <r>
    <n v="2019"/>
    <n v="1"/>
    <s v="RestOfWorld"/>
    <s v="MINI"/>
    <n v="8405"/>
    <n v="40316"/>
    <n v="338855980"/>
    <n v="4.2000000000000003E-2"/>
    <n v="6.5"/>
    <n v="3.26"/>
    <m/>
    <m/>
    <s v="High Growth"/>
    <n v="55528754190"/>
    <x v="9"/>
  </r>
  <r>
    <n v="2019"/>
    <n v="2"/>
    <s v="Europe"/>
    <s v="3 Series"/>
    <n v="5762"/>
    <n v="48430"/>
    <n v="279053660"/>
    <n v="0.05"/>
    <n v="20.100000000000001"/>
    <n v="4.8099999999999996"/>
    <m/>
    <m/>
    <s v="High Growth"/>
    <n v="56325491359"/>
    <x v="10"/>
  </r>
  <r>
    <n v="2019"/>
    <n v="2"/>
    <s v="Europe"/>
    <s v="5 Series"/>
    <n v="2894"/>
    <n v="61107"/>
    <n v="176843658"/>
    <n v="5.8000000000000003E-2"/>
    <n v="20.100000000000001"/>
    <n v="4.8099999999999996"/>
    <m/>
    <m/>
    <s v="High Growth"/>
    <n v="56325491359"/>
    <x v="10"/>
  </r>
  <r>
    <n v="2019"/>
    <n v="2"/>
    <s v="Europe"/>
    <s v="X3"/>
    <n v="2648"/>
    <n v="56409"/>
    <n v="149371032"/>
    <n v="5.8000000000000003E-2"/>
    <n v="20.100000000000001"/>
    <n v="4.8099999999999996"/>
    <m/>
    <m/>
    <s v="High Growth"/>
    <n v="56325491359"/>
    <x v="10"/>
  </r>
  <r>
    <n v="2019"/>
    <n v="2"/>
    <s v="Europe"/>
    <s v="X5"/>
    <n v="3321"/>
    <n v="67514"/>
    <n v="224213994"/>
    <n v="4.7E-2"/>
    <n v="20.100000000000001"/>
    <n v="4.8099999999999996"/>
    <m/>
    <m/>
    <s v="High Growth"/>
    <n v="56325491359"/>
    <x v="10"/>
  </r>
  <r>
    <n v="2019"/>
    <n v="2"/>
    <s v="Europe"/>
    <s v="X7"/>
    <n v="9583"/>
    <n v="90970"/>
    <n v="871765510"/>
    <n v="6.2E-2"/>
    <n v="20.100000000000001"/>
    <n v="4.8099999999999996"/>
    <m/>
    <m/>
    <s v="High Growth"/>
    <n v="56325491359"/>
    <x v="10"/>
  </r>
  <r>
    <n v="2019"/>
    <n v="2"/>
    <s v="Europe"/>
    <s v="i4"/>
    <n v="9470"/>
    <n v="65134"/>
    <n v="616818980"/>
    <n v="4.7E-2"/>
    <n v="20.100000000000001"/>
    <n v="4.8099999999999996"/>
    <m/>
    <m/>
    <s v="High Growth"/>
    <n v="56325491359"/>
    <x v="10"/>
  </r>
  <r>
    <n v="2019"/>
    <n v="2"/>
    <s v="Europe"/>
    <s v="iX"/>
    <n v="3972"/>
    <n v="76638"/>
    <n v="304406136"/>
    <n v="4.2000000000000003E-2"/>
    <n v="20.100000000000001"/>
    <n v="4.8099999999999996"/>
    <m/>
    <m/>
    <s v="High Growth"/>
    <n v="56325491359"/>
    <x v="10"/>
  </r>
  <r>
    <n v="2019"/>
    <n v="2"/>
    <s v="Europe"/>
    <s v="MINI"/>
    <n v="11195"/>
    <n v="43427"/>
    <n v="486165265"/>
    <n v="4.9000000000000002E-2"/>
    <n v="20.100000000000001"/>
    <n v="4.8099999999999996"/>
    <m/>
    <m/>
    <s v="High Growth"/>
    <n v="56325491359"/>
    <x v="10"/>
  </r>
  <r>
    <n v="2019"/>
    <n v="2"/>
    <s v="China"/>
    <s v="3 Series"/>
    <n v="2745"/>
    <n v="46311"/>
    <n v="127123695"/>
    <n v="3.2000000000000001E-2"/>
    <n v="17.04"/>
    <n v="3.57"/>
    <m/>
    <m/>
    <s v="High Growth"/>
    <n v="58905926051"/>
    <x v="10"/>
  </r>
  <r>
    <n v="2019"/>
    <n v="2"/>
    <s v="China"/>
    <s v="5 Series"/>
    <n v="5303"/>
    <n v="61082"/>
    <n v="323917846"/>
    <n v="5.7000000000000002E-2"/>
    <n v="17.04"/>
    <n v="3.57"/>
    <m/>
    <m/>
    <s v="High Growth"/>
    <n v="58905926051"/>
    <x v="10"/>
  </r>
  <r>
    <n v="2019"/>
    <n v="2"/>
    <s v="China"/>
    <s v="X3"/>
    <n v="11199"/>
    <n v="57982"/>
    <n v="649340418"/>
    <n v="0.04"/>
    <n v="17.04"/>
    <n v="3.57"/>
    <m/>
    <m/>
    <s v="High Growth"/>
    <n v="58905926051"/>
    <x v="10"/>
  </r>
  <r>
    <n v="2019"/>
    <n v="2"/>
    <s v="China"/>
    <s v="X5"/>
    <n v="2790"/>
    <n v="67902"/>
    <n v="189446580"/>
    <n v="4.7E-2"/>
    <n v="17.04"/>
    <n v="3.57"/>
    <m/>
    <m/>
    <s v="High Growth"/>
    <n v="58905926051"/>
    <x v="10"/>
  </r>
  <r>
    <n v="2019"/>
    <n v="2"/>
    <s v="China"/>
    <s v="X7"/>
    <n v="9300"/>
    <n v="92071"/>
    <n v="856260300"/>
    <n v="4.3999999999999997E-2"/>
    <n v="17.04"/>
    <n v="3.57"/>
    <m/>
    <m/>
    <s v="High Growth"/>
    <n v="58905926051"/>
    <x v="10"/>
  </r>
  <r>
    <n v="2019"/>
    <n v="2"/>
    <s v="China"/>
    <s v="i4"/>
    <n v="10856"/>
    <n v="65852"/>
    <n v="714889312"/>
    <n v="0.05"/>
    <n v="17.04"/>
    <n v="3.57"/>
    <m/>
    <m/>
    <s v="High Growth"/>
    <n v="58905926051"/>
    <x v="10"/>
  </r>
  <r>
    <n v="2019"/>
    <n v="2"/>
    <s v="China"/>
    <s v="iX"/>
    <n v="5825"/>
    <n v="75467"/>
    <n v="439595275"/>
    <n v="4.7E-2"/>
    <n v="17.04"/>
    <n v="3.57"/>
    <m/>
    <m/>
    <s v="High Growth"/>
    <n v="58905926051"/>
    <x v="10"/>
  </r>
  <r>
    <n v="2019"/>
    <n v="2"/>
    <s v="China"/>
    <s v="MINI"/>
    <n v="11707"/>
    <n v="43188"/>
    <n v="505601916"/>
    <n v="5.5E-2"/>
    <n v="17.04"/>
    <n v="3.57"/>
    <m/>
    <m/>
    <s v="High Growth"/>
    <n v="58905926051"/>
    <x v="10"/>
  </r>
  <r>
    <n v="2019"/>
    <n v="2"/>
    <s v="USA"/>
    <s v="3 Series"/>
    <n v="3810"/>
    <n v="49714"/>
    <n v="189410340"/>
    <n v="3.5999999999999997E-2"/>
    <n v="18.18"/>
    <n v="4.57"/>
    <m/>
    <m/>
    <s v="High Growth"/>
    <n v="54599997295"/>
    <x v="10"/>
  </r>
  <r>
    <n v="2019"/>
    <n v="2"/>
    <s v="USA"/>
    <s v="5 Series"/>
    <n v="2963"/>
    <n v="63623"/>
    <n v="188514949"/>
    <n v="3.1E-2"/>
    <n v="18.18"/>
    <n v="4.57"/>
    <m/>
    <m/>
    <s v="High Growth"/>
    <n v="54599997295"/>
    <x v="10"/>
  </r>
  <r>
    <n v="2019"/>
    <n v="2"/>
    <s v="USA"/>
    <s v="X3"/>
    <n v="5340"/>
    <n v="58147"/>
    <n v="310504980"/>
    <n v="5.1999999999999998E-2"/>
    <n v="18.18"/>
    <n v="4.57"/>
    <m/>
    <m/>
    <s v="High Growth"/>
    <n v="54599997295"/>
    <x v="10"/>
  </r>
  <r>
    <n v="2019"/>
    <n v="2"/>
    <s v="USA"/>
    <s v="X5"/>
    <n v="9193"/>
    <n v="67477"/>
    <n v="620316061"/>
    <n v="3.7999999999999999E-2"/>
    <n v="18.18"/>
    <n v="4.57"/>
    <m/>
    <m/>
    <s v="High Growth"/>
    <n v="54599997295"/>
    <x v="10"/>
  </r>
  <r>
    <n v="2019"/>
    <n v="2"/>
    <s v="USA"/>
    <s v="X7"/>
    <n v="11380"/>
    <n v="92340"/>
    <n v="1050829200"/>
    <n v="4.7E-2"/>
    <n v="18.18"/>
    <n v="4.57"/>
    <m/>
    <m/>
    <s v="High Growth"/>
    <n v="54599997295"/>
    <x v="10"/>
  </r>
  <r>
    <n v="2019"/>
    <n v="2"/>
    <s v="USA"/>
    <s v="i4"/>
    <n v="6994"/>
    <n v="65365"/>
    <n v="457162810"/>
    <n v="2.1999999999999999E-2"/>
    <n v="18.18"/>
    <n v="4.57"/>
    <m/>
    <m/>
    <s v="Low Growth"/>
    <n v="54599997295"/>
    <x v="10"/>
  </r>
  <r>
    <n v="2019"/>
    <n v="2"/>
    <s v="USA"/>
    <s v="iX"/>
    <n v="3938"/>
    <n v="73503"/>
    <n v="289454814"/>
    <n v="4.2999999999999997E-2"/>
    <n v="18.18"/>
    <n v="4.57"/>
    <m/>
    <m/>
    <s v="High Growth"/>
    <n v="54599997295"/>
    <x v="10"/>
  </r>
  <r>
    <n v="2019"/>
    <n v="2"/>
    <s v="USA"/>
    <s v="MINI"/>
    <n v="4675"/>
    <n v="42008"/>
    <n v="196387400"/>
    <n v="5.6000000000000001E-2"/>
    <n v="18.18"/>
    <n v="4.57"/>
    <m/>
    <m/>
    <s v="High Growth"/>
    <n v="54599997295"/>
    <x v="10"/>
  </r>
  <r>
    <n v="2019"/>
    <n v="2"/>
    <s v="RestOfWorld"/>
    <s v="3 Series"/>
    <n v="10488"/>
    <n v="48046"/>
    <n v="503906448"/>
    <n v="5.2999999999999999E-2"/>
    <n v="6.3"/>
    <n v="2.31"/>
    <m/>
    <m/>
    <s v="High Growth"/>
    <n v="55528754190"/>
    <x v="10"/>
  </r>
  <r>
    <n v="2019"/>
    <n v="2"/>
    <s v="RestOfWorld"/>
    <s v="5 Series"/>
    <n v="7870"/>
    <n v="60459"/>
    <n v="475812330"/>
    <n v="3.3000000000000002E-2"/>
    <n v="6.3"/>
    <n v="2.31"/>
    <m/>
    <m/>
    <s v="High Growth"/>
    <n v="55528754190"/>
    <x v="10"/>
  </r>
  <r>
    <n v="2019"/>
    <n v="2"/>
    <s v="RestOfWorld"/>
    <s v="X3"/>
    <n v="9356"/>
    <n v="59778"/>
    <n v="559282968"/>
    <n v="2.9000000000000001E-2"/>
    <n v="6.3"/>
    <n v="2.31"/>
    <m/>
    <m/>
    <s v="Low Growth"/>
    <n v="55528754190"/>
    <x v="10"/>
  </r>
  <r>
    <n v="2019"/>
    <n v="2"/>
    <s v="RestOfWorld"/>
    <s v="X5"/>
    <n v="3061"/>
    <n v="67269"/>
    <n v="205910409"/>
    <n v="4.2000000000000003E-2"/>
    <n v="6.3"/>
    <n v="2.31"/>
    <m/>
    <m/>
    <s v="High Growth"/>
    <n v="55528754190"/>
    <x v="10"/>
  </r>
  <r>
    <n v="2019"/>
    <n v="2"/>
    <s v="RestOfWorld"/>
    <s v="X7"/>
    <n v="8047"/>
    <n v="91280"/>
    <n v="734530160"/>
    <n v="5.5E-2"/>
    <n v="6.3"/>
    <n v="2.31"/>
    <m/>
    <m/>
    <s v="High Growth"/>
    <n v="55528754190"/>
    <x v="10"/>
  </r>
  <r>
    <n v="2019"/>
    <n v="2"/>
    <s v="RestOfWorld"/>
    <s v="i4"/>
    <n v="8587"/>
    <n v="66347"/>
    <n v="569721689"/>
    <n v="0.04"/>
    <n v="6.3"/>
    <n v="2.31"/>
    <m/>
    <m/>
    <s v="High Growth"/>
    <n v="55528754190"/>
    <x v="10"/>
  </r>
  <r>
    <n v="2019"/>
    <n v="2"/>
    <s v="RestOfWorld"/>
    <s v="iX"/>
    <n v="8214"/>
    <n v="73575"/>
    <n v="604345050"/>
    <n v="0.06"/>
    <n v="6.3"/>
    <n v="2.31"/>
    <m/>
    <m/>
    <s v="High Growth"/>
    <n v="55528754190"/>
    <x v="10"/>
  </r>
  <r>
    <n v="2019"/>
    <n v="2"/>
    <s v="RestOfWorld"/>
    <s v="MINI"/>
    <n v="9324"/>
    <n v="42003"/>
    <n v="391635972"/>
    <n v="5.3999999999999999E-2"/>
    <n v="6.3"/>
    <n v="2.31"/>
    <m/>
    <m/>
    <s v="High Growth"/>
    <n v="55528754190"/>
    <x v="10"/>
  </r>
  <r>
    <n v="2019"/>
    <n v="3"/>
    <s v="Europe"/>
    <s v="3 Series"/>
    <n v="6875"/>
    <n v="47390"/>
    <n v="325806250"/>
    <n v="0.04"/>
    <n v="16.5"/>
    <n v="4.4000000000000004"/>
    <m/>
    <m/>
    <s v="High Growth"/>
    <n v="56325491359"/>
    <x v="11"/>
  </r>
  <r>
    <n v="2019"/>
    <n v="3"/>
    <s v="Europe"/>
    <s v="5 Series"/>
    <n v="4806"/>
    <n v="61925"/>
    <n v="297611550"/>
    <n v="6.3E-2"/>
    <n v="16.5"/>
    <n v="4.4000000000000004"/>
    <m/>
    <m/>
    <s v="High Growth"/>
    <n v="56325491359"/>
    <x v="11"/>
  </r>
  <r>
    <n v="2019"/>
    <n v="3"/>
    <s v="Europe"/>
    <s v="X3"/>
    <n v="3533"/>
    <n v="58381"/>
    <n v="206260073"/>
    <n v="0.04"/>
    <n v="16.5"/>
    <n v="4.4000000000000004"/>
    <m/>
    <m/>
    <s v="High Growth"/>
    <n v="56325491359"/>
    <x v="11"/>
  </r>
  <r>
    <n v="2019"/>
    <n v="3"/>
    <s v="Europe"/>
    <s v="X5"/>
    <n v="3929"/>
    <n v="69558"/>
    <n v="273293382"/>
    <n v="4.4999999999999998E-2"/>
    <n v="16.5"/>
    <n v="4.4000000000000004"/>
    <m/>
    <m/>
    <s v="High Growth"/>
    <n v="56325491359"/>
    <x v="11"/>
  </r>
  <r>
    <n v="2019"/>
    <n v="3"/>
    <s v="Europe"/>
    <s v="X7"/>
    <n v="13295"/>
    <n v="91058"/>
    <n v="1210616110"/>
    <n v="4.5999999999999999E-2"/>
    <n v="16.5"/>
    <n v="4.4000000000000004"/>
    <m/>
    <m/>
    <s v="High Growth"/>
    <n v="56325491359"/>
    <x v="11"/>
  </r>
  <r>
    <n v="2019"/>
    <n v="3"/>
    <s v="Europe"/>
    <s v="i4"/>
    <n v="7696"/>
    <n v="65532"/>
    <n v="504334272"/>
    <n v="0.04"/>
    <n v="16.5"/>
    <n v="4.4000000000000004"/>
    <m/>
    <m/>
    <s v="High Growth"/>
    <n v="56325491359"/>
    <x v="11"/>
  </r>
  <r>
    <n v="2019"/>
    <n v="3"/>
    <s v="Europe"/>
    <s v="iX"/>
    <n v="8699"/>
    <n v="74229"/>
    <n v="645718071"/>
    <n v="4.5999999999999999E-2"/>
    <n v="16.5"/>
    <n v="4.4000000000000004"/>
    <m/>
    <m/>
    <s v="High Growth"/>
    <n v="56325491359"/>
    <x v="11"/>
  </r>
  <r>
    <n v="2019"/>
    <n v="3"/>
    <s v="Europe"/>
    <s v="MINI"/>
    <n v="13286"/>
    <n v="40489"/>
    <n v="537936854"/>
    <n v="2.5000000000000001E-2"/>
    <n v="16.5"/>
    <n v="4.4000000000000004"/>
    <m/>
    <m/>
    <s v="Low Growth"/>
    <n v="56325491359"/>
    <x v="11"/>
  </r>
  <r>
    <n v="2019"/>
    <n v="3"/>
    <s v="China"/>
    <s v="3 Series"/>
    <n v="2974"/>
    <n v="47208"/>
    <n v="140396592"/>
    <n v="4.5999999999999999E-2"/>
    <n v="18.8"/>
    <n v="2.52"/>
    <m/>
    <m/>
    <s v="High Growth"/>
    <n v="58905926051"/>
    <x v="11"/>
  </r>
  <r>
    <n v="2019"/>
    <n v="3"/>
    <s v="China"/>
    <s v="5 Series"/>
    <n v="8884"/>
    <n v="63255"/>
    <n v="561957420"/>
    <n v="0.05"/>
    <n v="18.8"/>
    <n v="2.52"/>
    <m/>
    <m/>
    <s v="High Growth"/>
    <n v="58905926051"/>
    <x v="11"/>
  </r>
  <r>
    <n v="2019"/>
    <n v="3"/>
    <s v="China"/>
    <s v="X3"/>
    <n v="10353"/>
    <n v="57317"/>
    <n v="593402901"/>
    <n v="2.4E-2"/>
    <n v="18.8"/>
    <n v="2.52"/>
    <m/>
    <m/>
    <s v="Low Growth"/>
    <n v="58905926051"/>
    <x v="11"/>
  </r>
  <r>
    <n v="2019"/>
    <n v="3"/>
    <s v="China"/>
    <s v="X5"/>
    <n v="9963"/>
    <n v="69431"/>
    <n v="691741053"/>
    <n v="4.8000000000000001E-2"/>
    <n v="18.8"/>
    <n v="2.52"/>
    <m/>
    <m/>
    <s v="High Growth"/>
    <n v="58905926051"/>
    <x v="11"/>
  </r>
  <r>
    <n v="2019"/>
    <n v="3"/>
    <s v="China"/>
    <s v="X7"/>
    <n v="9355"/>
    <n v="92793"/>
    <n v="868078515"/>
    <n v="5.6000000000000001E-2"/>
    <n v="18.8"/>
    <n v="2.52"/>
    <m/>
    <m/>
    <s v="High Growth"/>
    <n v="58905926051"/>
    <x v="11"/>
  </r>
  <r>
    <n v="2019"/>
    <n v="3"/>
    <s v="China"/>
    <s v="i4"/>
    <n v="3842"/>
    <n v="63374"/>
    <n v="243482908"/>
    <n v="3.5000000000000003E-2"/>
    <n v="18.8"/>
    <n v="2.52"/>
    <m/>
    <m/>
    <s v="High Growth"/>
    <n v="58905926051"/>
    <x v="11"/>
  </r>
  <r>
    <n v="2019"/>
    <n v="3"/>
    <s v="China"/>
    <s v="iX"/>
    <n v="10961"/>
    <n v="73516"/>
    <n v="805808876"/>
    <n v="3.9E-2"/>
    <n v="18.8"/>
    <n v="2.52"/>
    <m/>
    <m/>
    <s v="High Growth"/>
    <n v="58905926051"/>
    <x v="11"/>
  </r>
  <r>
    <n v="2019"/>
    <n v="3"/>
    <s v="China"/>
    <s v="MINI"/>
    <n v="4189"/>
    <n v="43873"/>
    <n v="183783997"/>
    <n v="6.4000000000000001E-2"/>
    <n v="18.8"/>
    <n v="2.52"/>
    <m/>
    <m/>
    <s v="High Growth"/>
    <n v="58905926051"/>
    <x v="11"/>
  </r>
  <r>
    <n v="2019"/>
    <n v="3"/>
    <s v="USA"/>
    <s v="3 Series"/>
    <n v="11562"/>
    <n v="46587"/>
    <n v="538638894"/>
    <n v="4.7E-2"/>
    <n v="15.71"/>
    <n v="2.9"/>
    <m/>
    <m/>
    <s v="High Growth"/>
    <n v="54599997295"/>
    <x v="11"/>
  </r>
  <r>
    <n v="2019"/>
    <n v="3"/>
    <s v="USA"/>
    <s v="5 Series"/>
    <n v="3949"/>
    <n v="61863"/>
    <n v="244296987"/>
    <n v="5.6000000000000001E-2"/>
    <n v="15.71"/>
    <n v="2.9"/>
    <m/>
    <m/>
    <s v="High Growth"/>
    <n v="54599997295"/>
    <x v="11"/>
  </r>
  <r>
    <n v="2019"/>
    <n v="3"/>
    <s v="USA"/>
    <s v="X3"/>
    <n v="7863"/>
    <n v="59218"/>
    <n v="465631134"/>
    <n v="5.6000000000000001E-2"/>
    <n v="15.71"/>
    <n v="2.9"/>
    <m/>
    <m/>
    <s v="High Growth"/>
    <n v="54599997295"/>
    <x v="11"/>
  </r>
  <r>
    <n v="2019"/>
    <n v="3"/>
    <s v="USA"/>
    <s v="X5"/>
    <n v="6371"/>
    <n v="68327"/>
    <n v="435311317"/>
    <n v="5.7000000000000002E-2"/>
    <n v="15.71"/>
    <n v="2.9"/>
    <m/>
    <m/>
    <s v="High Growth"/>
    <n v="54599997295"/>
    <x v="11"/>
  </r>
  <r>
    <n v="2019"/>
    <n v="3"/>
    <s v="USA"/>
    <s v="X7"/>
    <n v="12038"/>
    <n v="92632"/>
    <n v="1115104016"/>
    <n v="5.5E-2"/>
    <n v="15.71"/>
    <n v="2.9"/>
    <m/>
    <m/>
    <s v="High Growth"/>
    <n v="54599997295"/>
    <x v="11"/>
  </r>
  <r>
    <n v="2019"/>
    <n v="3"/>
    <s v="USA"/>
    <s v="i4"/>
    <n v="7169"/>
    <n v="65636"/>
    <n v="470544484"/>
    <n v="4.2000000000000003E-2"/>
    <n v="15.71"/>
    <n v="2.9"/>
    <m/>
    <m/>
    <s v="High Growth"/>
    <n v="54599997295"/>
    <x v="11"/>
  </r>
  <r>
    <n v="2019"/>
    <n v="3"/>
    <s v="USA"/>
    <s v="iX"/>
    <n v="6492"/>
    <n v="76452"/>
    <n v="496326384"/>
    <n v="5.0999999999999997E-2"/>
    <n v="15.71"/>
    <n v="2.9"/>
    <m/>
    <m/>
    <s v="High Growth"/>
    <n v="54599997295"/>
    <x v="11"/>
  </r>
  <r>
    <n v="2019"/>
    <n v="3"/>
    <s v="USA"/>
    <s v="MINI"/>
    <n v="6427"/>
    <n v="40493"/>
    <n v="260248511"/>
    <n v="4.9000000000000002E-2"/>
    <n v="15.71"/>
    <n v="2.9"/>
    <m/>
    <m/>
    <s v="High Growth"/>
    <n v="54599997295"/>
    <x v="11"/>
  </r>
  <r>
    <n v="2019"/>
    <n v="3"/>
    <s v="RestOfWorld"/>
    <s v="3 Series"/>
    <n v="3965"/>
    <n v="49712"/>
    <n v="197108080"/>
    <n v="5.2999999999999999E-2"/>
    <n v="6.8"/>
    <n v="2.89"/>
    <m/>
    <m/>
    <s v="High Growth"/>
    <n v="55528754190"/>
    <x v="11"/>
  </r>
  <r>
    <n v="2019"/>
    <n v="3"/>
    <s v="RestOfWorld"/>
    <s v="5 Series"/>
    <n v="4381"/>
    <n v="60821"/>
    <n v="266456801"/>
    <n v="4.1000000000000002E-2"/>
    <n v="6.8"/>
    <n v="2.89"/>
    <m/>
    <m/>
    <s v="High Growth"/>
    <n v="55528754190"/>
    <x v="11"/>
  </r>
  <r>
    <n v="2019"/>
    <n v="3"/>
    <s v="RestOfWorld"/>
    <s v="X3"/>
    <n v="3346"/>
    <n v="56916"/>
    <n v="190440936"/>
    <n v="3.2000000000000001E-2"/>
    <n v="6.8"/>
    <n v="2.89"/>
    <m/>
    <m/>
    <s v="High Growth"/>
    <n v="55528754190"/>
    <x v="11"/>
  </r>
  <r>
    <n v="2019"/>
    <n v="3"/>
    <s v="RestOfWorld"/>
    <s v="X5"/>
    <n v="6089"/>
    <n v="69652"/>
    <n v="424111028"/>
    <n v="2.9000000000000001E-2"/>
    <n v="6.8"/>
    <n v="2.89"/>
    <m/>
    <m/>
    <s v="Low Growth"/>
    <n v="55528754190"/>
    <x v="11"/>
  </r>
  <r>
    <n v="2019"/>
    <n v="3"/>
    <s v="RestOfWorld"/>
    <s v="X7"/>
    <n v="9168"/>
    <n v="92338"/>
    <n v="846554784"/>
    <n v="5.6000000000000001E-2"/>
    <n v="6.8"/>
    <n v="2.89"/>
    <m/>
    <m/>
    <s v="High Growth"/>
    <n v="55528754190"/>
    <x v="11"/>
  </r>
  <r>
    <n v="2019"/>
    <n v="3"/>
    <s v="RestOfWorld"/>
    <s v="i4"/>
    <n v="9697"/>
    <n v="65149"/>
    <n v="631749853"/>
    <n v="6.7000000000000004E-2"/>
    <n v="6.8"/>
    <n v="2.89"/>
    <m/>
    <m/>
    <s v="High Growth"/>
    <n v="55528754190"/>
    <x v="11"/>
  </r>
  <r>
    <n v="2019"/>
    <n v="3"/>
    <s v="RestOfWorld"/>
    <s v="iX"/>
    <n v="10774"/>
    <n v="73961"/>
    <n v="796855814"/>
    <n v="0.05"/>
    <n v="6.8"/>
    <n v="2.89"/>
    <m/>
    <m/>
    <s v="High Growth"/>
    <n v="55528754190"/>
    <x v="11"/>
  </r>
  <r>
    <n v="2019"/>
    <n v="3"/>
    <s v="RestOfWorld"/>
    <s v="MINI"/>
    <n v="6219"/>
    <n v="43848"/>
    <n v="272690712"/>
    <n v="3.5000000000000003E-2"/>
    <n v="6.8"/>
    <n v="2.89"/>
    <m/>
    <m/>
    <s v="High Growth"/>
    <n v="55528754190"/>
    <x v="11"/>
  </r>
  <r>
    <n v="2019"/>
    <n v="4"/>
    <s v="Europe"/>
    <s v="3 Series"/>
    <n v="3597"/>
    <n v="47763"/>
    <n v="171803511"/>
    <n v="2.9000000000000001E-2"/>
    <n v="17.63"/>
    <n v="3.98"/>
    <m/>
    <m/>
    <s v="Low Growth"/>
    <n v="56325491359"/>
    <x v="12"/>
  </r>
  <r>
    <n v="2019"/>
    <n v="4"/>
    <s v="Europe"/>
    <s v="5 Series"/>
    <n v="10503"/>
    <n v="60943"/>
    <n v="640084329"/>
    <n v="4.7E-2"/>
    <n v="17.63"/>
    <n v="3.98"/>
    <m/>
    <m/>
    <s v="High Growth"/>
    <n v="56325491359"/>
    <x v="12"/>
  </r>
  <r>
    <n v="2019"/>
    <n v="4"/>
    <s v="Europe"/>
    <s v="X3"/>
    <n v="7774"/>
    <n v="58474"/>
    <n v="454576876"/>
    <n v="5.3999999999999999E-2"/>
    <n v="17.63"/>
    <n v="3.98"/>
    <m/>
    <m/>
    <s v="High Growth"/>
    <n v="56325491359"/>
    <x v="12"/>
  </r>
  <r>
    <n v="2019"/>
    <n v="4"/>
    <s v="Europe"/>
    <s v="X5"/>
    <n v="11444"/>
    <n v="67020"/>
    <n v="766976880"/>
    <n v="5.5E-2"/>
    <n v="17.63"/>
    <n v="3.98"/>
    <m/>
    <m/>
    <s v="High Growth"/>
    <n v="56325491359"/>
    <x v="12"/>
  </r>
  <r>
    <n v="2019"/>
    <n v="4"/>
    <s v="Europe"/>
    <s v="X7"/>
    <n v="2843"/>
    <n v="93188"/>
    <n v="264933484"/>
    <n v="5.3999999999999999E-2"/>
    <n v="17.63"/>
    <n v="3.98"/>
    <m/>
    <m/>
    <s v="High Growth"/>
    <n v="56325491359"/>
    <x v="12"/>
  </r>
  <r>
    <n v="2019"/>
    <n v="4"/>
    <s v="Europe"/>
    <s v="i4"/>
    <n v="7576"/>
    <n v="65446"/>
    <n v="495818896"/>
    <n v="4.2999999999999997E-2"/>
    <n v="17.63"/>
    <n v="3.98"/>
    <m/>
    <m/>
    <s v="High Growth"/>
    <n v="56325491359"/>
    <x v="12"/>
  </r>
  <r>
    <n v="2019"/>
    <n v="4"/>
    <s v="Europe"/>
    <s v="iX"/>
    <n v="9233"/>
    <n v="73323"/>
    <n v="676991259"/>
    <n v="3.3000000000000002E-2"/>
    <n v="17.63"/>
    <n v="3.98"/>
    <m/>
    <m/>
    <s v="High Growth"/>
    <n v="56325491359"/>
    <x v="12"/>
  </r>
  <r>
    <n v="2019"/>
    <n v="4"/>
    <s v="Europe"/>
    <s v="MINI"/>
    <n v="2583"/>
    <n v="40469"/>
    <n v="104531427"/>
    <n v="0.06"/>
    <n v="17.63"/>
    <n v="3.98"/>
    <m/>
    <m/>
    <s v="High Growth"/>
    <n v="56325491359"/>
    <x v="12"/>
  </r>
  <r>
    <n v="2019"/>
    <n v="4"/>
    <s v="China"/>
    <s v="3 Series"/>
    <n v="10826"/>
    <n v="48798"/>
    <n v="528287148"/>
    <n v="3.5000000000000003E-2"/>
    <n v="18.32"/>
    <n v="2.5299999999999998"/>
    <m/>
    <m/>
    <s v="High Growth"/>
    <n v="58905926051"/>
    <x v="12"/>
  </r>
  <r>
    <n v="2019"/>
    <n v="4"/>
    <s v="China"/>
    <s v="5 Series"/>
    <n v="9600"/>
    <n v="60105"/>
    <n v="577008000"/>
    <n v="3.4000000000000002E-2"/>
    <n v="18.32"/>
    <n v="2.5299999999999998"/>
    <m/>
    <m/>
    <s v="High Growth"/>
    <n v="58905926051"/>
    <x v="12"/>
  </r>
  <r>
    <n v="2019"/>
    <n v="4"/>
    <s v="China"/>
    <s v="X3"/>
    <n v="7866"/>
    <n v="58636"/>
    <n v="461230776"/>
    <n v="3.7999999999999999E-2"/>
    <n v="18.32"/>
    <n v="2.5299999999999998"/>
    <m/>
    <m/>
    <s v="High Growth"/>
    <n v="58905926051"/>
    <x v="12"/>
  </r>
  <r>
    <n v="2019"/>
    <n v="4"/>
    <s v="China"/>
    <s v="X5"/>
    <n v="9087"/>
    <n v="69137"/>
    <n v="628247919"/>
    <n v="6.0999999999999999E-2"/>
    <n v="18.32"/>
    <n v="2.5299999999999998"/>
    <m/>
    <m/>
    <s v="High Growth"/>
    <n v="58905926051"/>
    <x v="12"/>
  </r>
  <r>
    <n v="2019"/>
    <n v="4"/>
    <s v="China"/>
    <s v="X7"/>
    <n v="6795"/>
    <n v="93657"/>
    <n v="636399315"/>
    <n v="5.0999999999999997E-2"/>
    <n v="18.32"/>
    <n v="2.5299999999999998"/>
    <m/>
    <m/>
    <s v="High Growth"/>
    <n v="58905926051"/>
    <x v="12"/>
  </r>
  <r>
    <n v="2019"/>
    <n v="4"/>
    <s v="China"/>
    <s v="i4"/>
    <n v="9346"/>
    <n v="65206"/>
    <n v="609415276"/>
    <n v="3.5000000000000003E-2"/>
    <n v="18.32"/>
    <n v="2.5299999999999998"/>
    <m/>
    <m/>
    <s v="High Growth"/>
    <n v="58905926051"/>
    <x v="12"/>
  </r>
  <r>
    <n v="2019"/>
    <n v="4"/>
    <s v="China"/>
    <s v="iX"/>
    <n v="6021"/>
    <n v="73444"/>
    <n v="442206324"/>
    <n v="5.3999999999999999E-2"/>
    <n v="18.32"/>
    <n v="2.5299999999999998"/>
    <m/>
    <m/>
    <s v="High Growth"/>
    <n v="58905926051"/>
    <x v="12"/>
  </r>
  <r>
    <n v="2019"/>
    <n v="4"/>
    <s v="China"/>
    <s v="MINI"/>
    <n v="8748"/>
    <n v="40951"/>
    <n v="358239348"/>
    <n v="3.7999999999999999E-2"/>
    <n v="18.32"/>
    <n v="2.5299999999999998"/>
    <m/>
    <m/>
    <s v="High Growth"/>
    <n v="58905926051"/>
    <x v="12"/>
  </r>
  <r>
    <n v="2019"/>
    <n v="4"/>
    <s v="USA"/>
    <s v="3 Series"/>
    <n v="7623"/>
    <n v="48938"/>
    <n v="373054374"/>
    <n v="4.5999999999999999E-2"/>
    <n v="19.64"/>
    <n v="2.98"/>
    <m/>
    <m/>
    <s v="High Growth"/>
    <n v="54599997295"/>
    <x v="12"/>
  </r>
  <r>
    <n v="2019"/>
    <n v="4"/>
    <s v="USA"/>
    <s v="5 Series"/>
    <n v="8595"/>
    <n v="62934"/>
    <n v="540917730"/>
    <n v="4.1000000000000002E-2"/>
    <n v="19.64"/>
    <n v="2.98"/>
    <m/>
    <m/>
    <s v="High Growth"/>
    <n v="54599997295"/>
    <x v="12"/>
  </r>
  <r>
    <n v="2019"/>
    <n v="4"/>
    <s v="USA"/>
    <s v="X3"/>
    <n v="9574"/>
    <n v="59097"/>
    <n v="565794678"/>
    <n v="7.0000000000000007E-2"/>
    <n v="19.64"/>
    <n v="2.98"/>
    <m/>
    <m/>
    <s v="High Growth"/>
    <n v="54599997295"/>
    <x v="12"/>
  </r>
  <r>
    <n v="2019"/>
    <n v="4"/>
    <s v="USA"/>
    <s v="X5"/>
    <n v="6963"/>
    <n v="68806"/>
    <n v="479096178"/>
    <n v="4.9000000000000002E-2"/>
    <n v="19.64"/>
    <n v="2.98"/>
    <m/>
    <m/>
    <s v="High Growth"/>
    <n v="54599997295"/>
    <x v="12"/>
  </r>
  <r>
    <n v="2019"/>
    <n v="4"/>
    <s v="USA"/>
    <s v="X7"/>
    <n v="2455"/>
    <n v="92729"/>
    <n v="227649695"/>
    <n v="0.04"/>
    <n v="19.64"/>
    <n v="2.98"/>
    <m/>
    <m/>
    <s v="High Growth"/>
    <n v="54599997295"/>
    <x v="12"/>
  </r>
  <r>
    <n v="2019"/>
    <n v="4"/>
    <s v="USA"/>
    <s v="i4"/>
    <n v="8605"/>
    <n v="63719"/>
    <n v="548301995"/>
    <n v="3.4000000000000002E-2"/>
    <n v="19.64"/>
    <n v="2.98"/>
    <m/>
    <m/>
    <s v="High Growth"/>
    <n v="54599997295"/>
    <x v="12"/>
  </r>
  <r>
    <n v="2019"/>
    <n v="4"/>
    <s v="USA"/>
    <s v="iX"/>
    <n v="3495"/>
    <n v="73049"/>
    <n v="255306255"/>
    <n v="5.1999999999999998E-2"/>
    <n v="19.64"/>
    <n v="2.98"/>
    <m/>
    <m/>
    <s v="High Growth"/>
    <n v="54599997295"/>
    <x v="12"/>
  </r>
  <r>
    <n v="2019"/>
    <n v="4"/>
    <s v="USA"/>
    <s v="MINI"/>
    <n v="9106"/>
    <n v="42578"/>
    <n v="387715268"/>
    <n v="3.7999999999999999E-2"/>
    <n v="19.64"/>
    <n v="2.98"/>
    <m/>
    <m/>
    <s v="High Growth"/>
    <n v="54599997295"/>
    <x v="12"/>
  </r>
  <r>
    <n v="2019"/>
    <n v="4"/>
    <s v="RestOfWorld"/>
    <s v="3 Series"/>
    <n v="7348"/>
    <n v="48289"/>
    <n v="354827572"/>
    <n v="3.6999999999999998E-2"/>
    <n v="6.62"/>
    <n v="3.44"/>
    <m/>
    <m/>
    <s v="High Growth"/>
    <n v="55528754190"/>
    <x v="12"/>
  </r>
  <r>
    <n v="2019"/>
    <n v="4"/>
    <s v="RestOfWorld"/>
    <s v="5 Series"/>
    <n v="2917"/>
    <n v="63179"/>
    <n v="184293143"/>
    <n v="6.6000000000000003E-2"/>
    <n v="6.62"/>
    <n v="3.44"/>
    <m/>
    <m/>
    <s v="High Growth"/>
    <n v="55528754190"/>
    <x v="12"/>
  </r>
  <r>
    <n v="2019"/>
    <n v="4"/>
    <s v="RestOfWorld"/>
    <s v="X3"/>
    <n v="3668"/>
    <n v="56661"/>
    <n v="207832548"/>
    <n v="7.0000000000000007E-2"/>
    <n v="6.62"/>
    <n v="3.44"/>
    <m/>
    <m/>
    <s v="High Growth"/>
    <n v="55528754190"/>
    <x v="12"/>
  </r>
  <r>
    <n v="2019"/>
    <n v="4"/>
    <s v="RestOfWorld"/>
    <s v="X5"/>
    <n v="5236"/>
    <n v="70726"/>
    <n v="370321336"/>
    <n v="2.5999999999999999E-2"/>
    <n v="6.62"/>
    <n v="3.44"/>
    <m/>
    <m/>
    <s v="Low Growth"/>
    <n v="55528754190"/>
    <x v="12"/>
  </r>
  <r>
    <n v="2019"/>
    <n v="4"/>
    <s v="RestOfWorld"/>
    <s v="X7"/>
    <n v="3412"/>
    <n v="90968"/>
    <n v="310382816"/>
    <n v="5.0999999999999997E-2"/>
    <n v="6.62"/>
    <n v="3.44"/>
    <m/>
    <m/>
    <s v="High Growth"/>
    <n v="55528754190"/>
    <x v="12"/>
  </r>
  <r>
    <n v="2019"/>
    <n v="4"/>
    <s v="RestOfWorld"/>
    <s v="i4"/>
    <n v="3522"/>
    <n v="65556"/>
    <n v="230888232"/>
    <n v="3.3000000000000002E-2"/>
    <n v="6.62"/>
    <n v="3.44"/>
    <m/>
    <m/>
    <s v="High Growth"/>
    <n v="55528754190"/>
    <x v="12"/>
  </r>
  <r>
    <n v="2019"/>
    <n v="4"/>
    <s v="RestOfWorld"/>
    <s v="iX"/>
    <n v="10892"/>
    <n v="74826"/>
    <n v="815004792"/>
    <n v="4.8000000000000001E-2"/>
    <n v="6.62"/>
    <n v="3.44"/>
    <m/>
    <m/>
    <s v="High Growth"/>
    <n v="55528754190"/>
    <x v="12"/>
  </r>
  <r>
    <n v="2019"/>
    <n v="4"/>
    <s v="RestOfWorld"/>
    <s v="MINI"/>
    <n v="6710"/>
    <n v="43668"/>
    <n v="293012280"/>
    <n v="4.4999999999999998E-2"/>
    <n v="6.62"/>
    <n v="3.44"/>
    <m/>
    <m/>
    <s v="High Growth"/>
    <n v="55528754190"/>
    <x v="12"/>
  </r>
  <r>
    <n v="2019"/>
    <n v="7"/>
    <s v="Europe"/>
    <s v="3 Series"/>
    <n v="10394"/>
    <n v="46758"/>
    <n v="486002652"/>
    <n v="5.0999999999999997E-2"/>
    <n v="14.27"/>
    <n v="3.68"/>
    <m/>
    <m/>
    <s v="High Growth"/>
    <n v="56325491359"/>
    <x v="13"/>
  </r>
  <r>
    <n v="2019"/>
    <n v="7"/>
    <s v="Europe"/>
    <s v="5 Series"/>
    <n v="3204"/>
    <n v="62773"/>
    <n v="201124692"/>
    <n v="0.05"/>
    <n v="14.27"/>
    <n v="3.68"/>
    <m/>
    <m/>
    <s v="High Growth"/>
    <n v="56325491359"/>
    <x v="13"/>
  </r>
  <r>
    <n v="2019"/>
    <n v="7"/>
    <s v="Europe"/>
    <s v="X3"/>
    <n v="4644"/>
    <n v="59926"/>
    <n v="278296344"/>
    <n v="4.9000000000000002E-2"/>
    <n v="14.27"/>
    <n v="3.68"/>
    <m/>
    <m/>
    <s v="High Growth"/>
    <n v="56325491359"/>
    <x v="13"/>
  </r>
  <r>
    <n v="2019"/>
    <n v="7"/>
    <s v="Europe"/>
    <s v="X5"/>
    <n v="11298"/>
    <n v="70244"/>
    <n v="793616712"/>
    <n v="4.2000000000000003E-2"/>
    <n v="14.27"/>
    <n v="3.68"/>
    <m/>
    <m/>
    <s v="High Growth"/>
    <n v="56325491359"/>
    <x v="13"/>
  </r>
  <r>
    <n v="2019"/>
    <n v="7"/>
    <s v="Europe"/>
    <s v="X7"/>
    <n v="9376"/>
    <n v="90844"/>
    <n v="851753344"/>
    <n v="6.5000000000000002E-2"/>
    <n v="14.27"/>
    <n v="3.68"/>
    <m/>
    <m/>
    <s v="High Growth"/>
    <n v="56325491359"/>
    <x v="13"/>
  </r>
  <r>
    <n v="2019"/>
    <n v="7"/>
    <s v="Europe"/>
    <s v="i4"/>
    <n v="5646"/>
    <n v="66576"/>
    <n v="375888096"/>
    <n v="4.5999999999999999E-2"/>
    <n v="14.27"/>
    <n v="3.68"/>
    <m/>
    <m/>
    <s v="High Growth"/>
    <n v="56325491359"/>
    <x v="13"/>
  </r>
  <r>
    <n v="2019"/>
    <n v="7"/>
    <s v="Europe"/>
    <s v="iX"/>
    <n v="5827"/>
    <n v="73365"/>
    <n v="427497855"/>
    <n v="3.6999999999999998E-2"/>
    <n v="14.27"/>
    <n v="3.68"/>
    <m/>
    <m/>
    <s v="High Growth"/>
    <n v="56325491359"/>
    <x v="13"/>
  </r>
  <r>
    <n v="2019"/>
    <n v="7"/>
    <s v="Europe"/>
    <s v="MINI"/>
    <n v="6879"/>
    <n v="40398"/>
    <n v="277897842"/>
    <n v="5.8000000000000003E-2"/>
    <n v="14.27"/>
    <n v="3.68"/>
    <m/>
    <m/>
    <s v="High Growth"/>
    <n v="56325491359"/>
    <x v="13"/>
  </r>
  <r>
    <n v="2019"/>
    <n v="7"/>
    <s v="China"/>
    <s v="3 Series"/>
    <n v="7768"/>
    <n v="48415"/>
    <n v="376087720"/>
    <n v="3.6999999999999998E-2"/>
    <n v="17.850000000000001"/>
    <n v="1.92"/>
    <m/>
    <m/>
    <s v="High Growth"/>
    <n v="58905926051"/>
    <x v="13"/>
  </r>
  <r>
    <n v="2019"/>
    <n v="7"/>
    <s v="China"/>
    <s v="5 Series"/>
    <n v="9788"/>
    <n v="61246"/>
    <n v="599475848"/>
    <n v="4.3999999999999997E-2"/>
    <n v="17.850000000000001"/>
    <n v="1.92"/>
    <m/>
    <m/>
    <s v="High Growth"/>
    <n v="58905926051"/>
    <x v="13"/>
  </r>
  <r>
    <n v="2019"/>
    <n v="7"/>
    <s v="China"/>
    <s v="X3"/>
    <n v="6202"/>
    <n v="57640"/>
    <n v="357483280"/>
    <n v="3.5999999999999997E-2"/>
    <n v="17.850000000000001"/>
    <n v="1.92"/>
    <m/>
    <m/>
    <s v="High Growth"/>
    <n v="58905926051"/>
    <x v="13"/>
  </r>
  <r>
    <n v="2019"/>
    <n v="7"/>
    <s v="China"/>
    <s v="X5"/>
    <n v="10831"/>
    <n v="67118"/>
    <n v="726955058"/>
    <n v="3.5999999999999997E-2"/>
    <n v="17.850000000000001"/>
    <n v="1.92"/>
    <m/>
    <m/>
    <s v="High Growth"/>
    <n v="58905926051"/>
    <x v="13"/>
  </r>
  <r>
    <n v="2019"/>
    <n v="7"/>
    <s v="China"/>
    <s v="X7"/>
    <n v="6639"/>
    <n v="93747"/>
    <n v="622386333"/>
    <n v="4.2000000000000003E-2"/>
    <n v="17.850000000000001"/>
    <n v="1.92"/>
    <m/>
    <m/>
    <s v="High Growth"/>
    <n v="58905926051"/>
    <x v="13"/>
  </r>
  <r>
    <n v="2019"/>
    <n v="7"/>
    <s v="China"/>
    <s v="i4"/>
    <n v="11099"/>
    <n v="64882"/>
    <n v="720125318"/>
    <n v="5.1999999999999998E-2"/>
    <n v="17.850000000000001"/>
    <n v="1.92"/>
    <m/>
    <m/>
    <s v="High Growth"/>
    <n v="58905926051"/>
    <x v="13"/>
  </r>
  <r>
    <n v="2019"/>
    <n v="7"/>
    <s v="China"/>
    <s v="iX"/>
    <n v="7932"/>
    <n v="75207"/>
    <n v="596541924"/>
    <n v="4.4999999999999998E-2"/>
    <n v="17.850000000000001"/>
    <n v="1.92"/>
    <m/>
    <m/>
    <s v="High Growth"/>
    <n v="58905926051"/>
    <x v="13"/>
  </r>
  <r>
    <n v="2019"/>
    <n v="7"/>
    <s v="China"/>
    <s v="MINI"/>
    <n v="6343"/>
    <n v="41311"/>
    <n v="262035673"/>
    <n v="3.5000000000000003E-2"/>
    <n v="17.850000000000001"/>
    <n v="1.92"/>
    <m/>
    <m/>
    <s v="High Growth"/>
    <n v="58905926051"/>
    <x v="13"/>
  </r>
  <r>
    <n v="2019"/>
    <n v="7"/>
    <s v="USA"/>
    <s v="3 Series"/>
    <n v="11377"/>
    <n v="46487"/>
    <n v="528882599"/>
    <n v="3.6999999999999998E-2"/>
    <n v="14.31"/>
    <n v="1.93"/>
    <m/>
    <m/>
    <s v="High Growth"/>
    <n v="54599997295"/>
    <x v="13"/>
  </r>
  <r>
    <n v="2019"/>
    <n v="7"/>
    <s v="USA"/>
    <s v="5 Series"/>
    <n v="8264"/>
    <n v="60845"/>
    <n v="502823080"/>
    <n v="4.7E-2"/>
    <n v="14.31"/>
    <n v="1.93"/>
    <m/>
    <m/>
    <s v="High Growth"/>
    <n v="54599997295"/>
    <x v="13"/>
  </r>
  <r>
    <n v="2019"/>
    <n v="7"/>
    <s v="USA"/>
    <s v="X3"/>
    <n v="8578"/>
    <n v="58461"/>
    <n v="501478458"/>
    <n v="3.4000000000000002E-2"/>
    <n v="14.31"/>
    <n v="1.93"/>
    <m/>
    <m/>
    <s v="High Growth"/>
    <n v="54599997295"/>
    <x v="13"/>
  </r>
  <r>
    <n v="2019"/>
    <n v="7"/>
    <s v="USA"/>
    <s v="X5"/>
    <n v="3116"/>
    <n v="69160"/>
    <n v="215502560"/>
    <n v="4.1000000000000002E-2"/>
    <n v="14.31"/>
    <n v="1.93"/>
    <m/>
    <m/>
    <s v="High Growth"/>
    <n v="54599997295"/>
    <x v="13"/>
  </r>
  <r>
    <n v="2019"/>
    <n v="7"/>
    <s v="USA"/>
    <s v="X7"/>
    <n v="9326"/>
    <n v="90779"/>
    <n v="846604954"/>
    <n v="5.1999999999999998E-2"/>
    <n v="14.31"/>
    <n v="1.93"/>
    <m/>
    <m/>
    <s v="High Growth"/>
    <n v="54599997295"/>
    <x v="13"/>
  </r>
  <r>
    <n v="2019"/>
    <n v="7"/>
    <s v="USA"/>
    <s v="i4"/>
    <n v="3675"/>
    <n v="65990"/>
    <n v="242513250"/>
    <n v="4.1000000000000002E-2"/>
    <n v="14.31"/>
    <n v="1.93"/>
    <m/>
    <m/>
    <s v="High Growth"/>
    <n v="54599997295"/>
    <x v="13"/>
  </r>
  <r>
    <n v="2019"/>
    <n v="7"/>
    <s v="USA"/>
    <s v="iX"/>
    <n v="9977"/>
    <n v="76709"/>
    <n v="765325693"/>
    <n v="3.3000000000000002E-2"/>
    <n v="14.31"/>
    <n v="1.93"/>
    <m/>
    <m/>
    <s v="High Growth"/>
    <n v="54599997295"/>
    <x v="13"/>
  </r>
  <r>
    <n v="2019"/>
    <n v="7"/>
    <s v="USA"/>
    <s v="MINI"/>
    <n v="2740"/>
    <n v="43431"/>
    <n v="119000940"/>
    <n v="5.0999999999999997E-2"/>
    <n v="14.31"/>
    <n v="1.93"/>
    <m/>
    <m/>
    <s v="High Growth"/>
    <n v="54599997295"/>
    <x v="13"/>
  </r>
  <r>
    <n v="2019"/>
    <n v="7"/>
    <s v="RestOfWorld"/>
    <s v="3 Series"/>
    <n v="11046"/>
    <n v="48907"/>
    <n v="540226722"/>
    <n v="3.6999999999999998E-2"/>
    <n v="5.1100000000000003"/>
    <n v="1.71"/>
    <m/>
    <m/>
    <s v="High Growth"/>
    <n v="55528754190"/>
    <x v="13"/>
  </r>
  <r>
    <n v="2019"/>
    <n v="7"/>
    <s v="RestOfWorld"/>
    <s v="5 Series"/>
    <n v="5907"/>
    <n v="60769"/>
    <n v="358962483"/>
    <n v="5.3999999999999999E-2"/>
    <n v="5.1100000000000003"/>
    <n v="1.71"/>
    <m/>
    <m/>
    <s v="High Growth"/>
    <n v="55528754190"/>
    <x v="13"/>
  </r>
  <r>
    <n v="2019"/>
    <n v="7"/>
    <s v="RestOfWorld"/>
    <s v="X3"/>
    <n v="6906"/>
    <n v="57067"/>
    <n v="394104702"/>
    <n v="3.3000000000000002E-2"/>
    <n v="5.1100000000000003"/>
    <n v="1.71"/>
    <m/>
    <m/>
    <s v="High Growth"/>
    <n v="55528754190"/>
    <x v="13"/>
  </r>
  <r>
    <n v="2019"/>
    <n v="7"/>
    <s v="RestOfWorld"/>
    <s v="X5"/>
    <n v="10912"/>
    <n v="69325"/>
    <n v="756474400"/>
    <n v="4.4999999999999998E-2"/>
    <n v="5.1100000000000003"/>
    <n v="1.71"/>
    <m/>
    <m/>
    <s v="High Growth"/>
    <n v="55528754190"/>
    <x v="13"/>
  </r>
  <r>
    <n v="2019"/>
    <n v="7"/>
    <s v="RestOfWorld"/>
    <s v="X7"/>
    <n v="6119"/>
    <n v="90514"/>
    <n v="553855166"/>
    <n v="5.2999999999999999E-2"/>
    <n v="5.1100000000000003"/>
    <n v="1.71"/>
    <m/>
    <m/>
    <s v="High Growth"/>
    <n v="55528754190"/>
    <x v="13"/>
  </r>
  <r>
    <n v="2019"/>
    <n v="7"/>
    <s v="RestOfWorld"/>
    <s v="i4"/>
    <n v="11149"/>
    <n v="64653"/>
    <n v="720816297"/>
    <n v="5.3999999999999999E-2"/>
    <n v="5.1100000000000003"/>
    <n v="1.71"/>
    <m/>
    <m/>
    <s v="High Growth"/>
    <n v="55528754190"/>
    <x v="13"/>
  </r>
  <r>
    <n v="2019"/>
    <n v="7"/>
    <s v="RestOfWorld"/>
    <s v="iX"/>
    <n v="4467"/>
    <n v="76300"/>
    <n v="340832100"/>
    <n v="5.5E-2"/>
    <n v="5.1100000000000003"/>
    <n v="1.71"/>
    <m/>
    <m/>
    <s v="High Growth"/>
    <n v="55528754190"/>
    <x v="13"/>
  </r>
  <r>
    <n v="2019"/>
    <n v="7"/>
    <s v="RestOfWorld"/>
    <s v="MINI"/>
    <n v="8590"/>
    <n v="40361"/>
    <n v="346700990"/>
    <n v="4.7E-2"/>
    <n v="5.1100000000000003"/>
    <n v="1.71"/>
    <m/>
    <m/>
    <s v="High Growth"/>
    <n v="55528754190"/>
    <x v="13"/>
  </r>
  <r>
    <n v="2019"/>
    <n v="8"/>
    <s v="Europe"/>
    <s v="3 Series"/>
    <n v="2949"/>
    <n v="49562"/>
    <n v="146158338"/>
    <n v="5.8000000000000003E-2"/>
    <n v="19.190000000000001"/>
    <n v="4.33"/>
    <m/>
    <m/>
    <s v="High Growth"/>
    <n v="56325491359"/>
    <x v="14"/>
  </r>
  <r>
    <n v="2019"/>
    <n v="8"/>
    <s v="Europe"/>
    <s v="5 Series"/>
    <n v="4912"/>
    <n v="63081"/>
    <n v="309853872"/>
    <n v="4.1000000000000002E-2"/>
    <n v="19.190000000000001"/>
    <n v="4.33"/>
    <m/>
    <m/>
    <s v="High Growth"/>
    <n v="56325491359"/>
    <x v="14"/>
  </r>
  <r>
    <n v="2019"/>
    <n v="8"/>
    <s v="Europe"/>
    <s v="X3"/>
    <n v="3843"/>
    <n v="56922"/>
    <n v="218751246"/>
    <n v="5.1999999999999998E-2"/>
    <n v="19.190000000000001"/>
    <n v="4.33"/>
    <m/>
    <m/>
    <s v="High Growth"/>
    <n v="56325491359"/>
    <x v="14"/>
  </r>
  <r>
    <n v="2019"/>
    <n v="8"/>
    <s v="Europe"/>
    <s v="X5"/>
    <n v="4558"/>
    <n v="68036"/>
    <n v="310108088"/>
    <n v="5.8999999999999997E-2"/>
    <n v="19.190000000000001"/>
    <n v="4.33"/>
    <m/>
    <m/>
    <s v="High Growth"/>
    <n v="56325491359"/>
    <x v="14"/>
  </r>
  <r>
    <n v="2019"/>
    <n v="8"/>
    <s v="Europe"/>
    <s v="X7"/>
    <n v="4938"/>
    <n v="90313"/>
    <n v="445965594"/>
    <n v="5.7000000000000002E-2"/>
    <n v="19.190000000000001"/>
    <n v="4.33"/>
    <m/>
    <m/>
    <s v="High Growth"/>
    <n v="56325491359"/>
    <x v="14"/>
  </r>
  <r>
    <n v="2019"/>
    <n v="8"/>
    <s v="Europe"/>
    <s v="i4"/>
    <n v="5462"/>
    <n v="65256"/>
    <n v="356428272"/>
    <n v="4.5999999999999999E-2"/>
    <n v="19.190000000000001"/>
    <n v="4.33"/>
    <m/>
    <m/>
    <s v="High Growth"/>
    <n v="56325491359"/>
    <x v="14"/>
  </r>
  <r>
    <n v="2019"/>
    <n v="8"/>
    <s v="Europe"/>
    <s v="iX"/>
    <n v="3460"/>
    <n v="76091"/>
    <n v="263274860"/>
    <n v="5.2999999999999999E-2"/>
    <n v="19.190000000000001"/>
    <n v="4.33"/>
    <m/>
    <m/>
    <s v="High Growth"/>
    <n v="56325491359"/>
    <x v="14"/>
  </r>
  <r>
    <n v="2019"/>
    <n v="8"/>
    <s v="Europe"/>
    <s v="MINI"/>
    <n v="5023"/>
    <n v="43983"/>
    <n v="220926609"/>
    <n v="5.2999999999999999E-2"/>
    <n v="19.190000000000001"/>
    <n v="4.33"/>
    <m/>
    <m/>
    <s v="High Growth"/>
    <n v="56325491359"/>
    <x v="14"/>
  </r>
  <r>
    <n v="2019"/>
    <n v="8"/>
    <s v="China"/>
    <s v="3 Series"/>
    <n v="3546"/>
    <n v="47155"/>
    <n v="167211630"/>
    <n v="4.2000000000000003E-2"/>
    <n v="20.14"/>
    <n v="2.5499999999999998"/>
    <m/>
    <m/>
    <s v="High Growth"/>
    <n v="58905926051"/>
    <x v="14"/>
  </r>
  <r>
    <n v="2019"/>
    <n v="8"/>
    <s v="China"/>
    <s v="5 Series"/>
    <n v="11482"/>
    <n v="61929"/>
    <n v="711068778"/>
    <n v="3.5999999999999997E-2"/>
    <n v="20.14"/>
    <n v="2.5499999999999998"/>
    <m/>
    <m/>
    <s v="High Growth"/>
    <n v="58905926051"/>
    <x v="14"/>
  </r>
  <r>
    <n v="2019"/>
    <n v="8"/>
    <s v="China"/>
    <s v="X3"/>
    <n v="3437"/>
    <n v="57492"/>
    <n v="197600004"/>
    <n v="2.8000000000000001E-2"/>
    <n v="20.14"/>
    <n v="2.5499999999999998"/>
    <m/>
    <m/>
    <s v="Low Growth"/>
    <n v="58905926051"/>
    <x v="14"/>
  </r>
  <r>
    <n v="2019"/>
    <n v="8"/>
    <s v="China"/>
    <s v="X5"/>
    <n v="4425"/>
    <n v="67870"/>
    <n v="300324750"/>
    <n v="0.06"/>
    <n v="20.14"/>
    <n v="2.5499999999999998"/>
    <m/>
    <m/>
    <s v="High Growth"/>
    <n v="58905926051"/>
    <x v="14"/>
  </r>
  <r>
    <n v="2019"/>
    <n v="8"/>
    <s v="China"/>
    <s v="X7"/>
    <n v="8210"/>
    <n v="92320"/>
    <n v="757947200"/>
    <n v="4.1000000000000002E-2"/>
    <n v="20.14"/>
    <n v="2.5499999999999998"/>
    <m/>
    <m/>
    <s v="High Growth"/>
    <n v="58905926051"/>
    <x v="14"/>
  </r>
  <r>
    <n v="2019"/>
    <n v="8"/>
    <s v="China"/>
    <s v="i4"/>
    <n v="4954"/>
    <n v="66292"/>
    <n v="328410568"/>
    <n v="3.3000000000000002E-2"/>
    <n v="20.14"/>
    <n v="2.5499999999999998"/>
    <m/>
    <m/>
    <s v="High Growth"/>
    <n v="58905926051"/>
    <x v="14"/>
  </r>
  <r>
    <n v="2019"/>
    <n v="8"/>
    <s v="China"/>
    <s v="iX"/>
    <n v="5955"/>
    <n v="74078"/>
    <n v="441134490"/>
    <n v="4.5999999999999999E-2"/>
    <n v="20.14"/>
    <n v="2.5499999999999998"/>
    <m/>
    <m/>
    <s v="High Growth"/>
    <n v="58905926051"/>
    <x v="14"/>
  </r>
  <r>
    <n v="2019"/>
    <n v="8"/>
    <s v="China"/>
    <s v="MINI"/>
    <n v="8946"/>
    <n v="42947"/>
    <n v="384203862"/>
    <n v="3.7999999999999999E-2"/>
    <n v="20.14"/>
    <n v="2.5499999999999998"/>
    <m/>
    <m/>
    <s v="High Growth"/>
    <n v="58905926051"/>
    <x v="14"/>
  </r>
  <r>
    <n v="2019"/>
    <n v="8"/>
    <s v="USA"/>
    <s v="3 Series"/>
    <n v="5763"/>
    <n v="46997"/>
    <n v="270843711"/>
    <n v="5.6000000000000001E-2"/>
    <n v="18.2"/>
    <n v="2.98"/>
    <m/>
    <m/>
    <s v="High Growth"/>
    <n v="54599997295"/>
    <x v="14"/>
  </r>
  <r>
    <n v="2019"/>
    <n v="8"/>
    <s v="USA"/>
    <s v="5 Series"/>
    <n v="3294"/>
    <n v="63775"/>
    <n v="210074850"/>
    <n v="3.9E-2"/>
    <n v="18.2"/>
    <n v="2.98"/>
    <m/>
    <m/>
    <s v="High Growth"/>
    <n v="54599997295"/>
    <x v="14"/>
  </r>
  <r>
    <n v="2019"/>
    <n v="8"/>
    <s v="USA"/>
    <s v="X3"/>
    <n v="10883"/>
    <n v="58160"/>
    <n v="632955280"/>
    <n v="3.5999999999999997E-2"/>
    <n v="18.2"/>
    <n v="2.98"/>
    <m/>
    <m/>
    <s v="High Growth"/>
    <n v="54599997295"/>
    <x v="14"/>
  </r>
  <r>
    <n v="2019"/>
    <n v="8"/>
    <s v="USA"/>
    <s v="X5"/>
    <n v="11642"/>
    <n v="69528"/>
    <n v="809444976"/>
    <n v="4.2000000000000003E-2"/>
    <n v="18.2"/>
    <n v="2.98"/>
    <m/>
    <m/>
    <s v="High Growth"/>
    <n v="54599997295"/>
    <x v="14"/>
  </r>
  <r>
    <n v="2019"/>
    <n v="8"/>
    <s v="USA"/>
    <s v="X7"/>
    <n v="3590"/>
    <n v="90475"/>
    <n v="324805250"/>
    <n v="3.9E-2"/>
    <n v="18.2"/>
    <n v="2.98"/>
    <m/>
    <m/>
    <s v="High Growth"/>
    <n v="54599997295"/>
    <x v="14"/>
  </r>
  <r>
    <n v="2019"/>
    <n v="8"/>
    <s v="USA"/>
    <s v="i4"/>
    <n v="3443"/>
    <n v="64141"/>
    <n v="220837463"/>
    <n v="4.2999999999999997E-2"/>
    <n v="18.2"/>
    <n v="2.98"/>
    <m/>
    <m/>
    <s v="High Growth"/>
    <n v="54599997295"/>
    <x v="14"/>
  </r>
  <r>
    <n v="2019"/>
    <n v="8"/>
    <s v="USA"/>
    <s v="iX"/>
    <n v="3701"/>
    <n v="73398"/>
    <n v="271645998"/>
    <n v="3.2000000000000001E-2"/>
    <n v="18.2"/>
    <n v="2.98"/>
    <m/>
    <m/>
    <s v="High Growth"/>
    <n v="54599997295"/>
    <x v="14"/>
  </r>
  <r>
    <n v="2019"/>
    <n v="8"/>
    <s v="USA"/>
    <s v="MINI"/>
    <n v="4141"/>
    <n v="41582"/>
    <n v="172191062"/>
    <n v="4.4999999999999998E-2"/>
    <n v="18.2"/>
    <n v="2.98"/>
    <m/>
    <m/>
    <s v="High Growth"/>
    <n v="54599997295"/>
    <x v="14"/>
  </r>
  <r>
    <n v="2019"/>
    <n v="8"/>
    <s v="RestOfWorld"/>
    <s v="3 Series"/>
    <n v="5842"/>
    <n v="46137"/>
    <n v="269532354"/>
    <n v="4.8000000000000001E-2"/>
    <n v="6.14"/>
    <n v="2.63"/>
    <m/>
    <m/>
    <s v="High Growth"/>
    <n v="55528754190"/>
    <x v="14"/>
  </r>
  <r>
    <n v="2019"/>
    <n v="8"/>
    <s v="RestOfWorld"/>
    <s v="5 Series"/>
    <n v="4498"/>
    <n v="61794"/>
    <n v="277949412"/>
    <n v="3.1E-2"/>
    <n v="6.14"/>
    <n v="2.63"/>
    <m/>
    <m/>
    <s v="High Growth"/>
    <n v="55528754190"/>
    <x v="14"/>
  </r>
  <r>
    <n v="2019"/>
    <n v="8"/>
    <s v="RestOfWorld"/>
    <s v="X3"/>
    <n v="7405"/>
    <n v="59701"/>
    <n v="442085905"/>
    <n v="5.1999999999999998E-2"/>
    <n v="6.14"/>
    <n v="2.63"/>
    <m/>
    <m/>
    <s v="High Growth"/>
    <n v="55528754190"/>
    <x v="14"/>
  </r>
  <r>
    <n v="2019"/>
    <n v="8"/>
    <s v="RestOfWorld"/>
    <s v="X5"/>
    <n v="5143"/>
    <n v="70920"/>
    <n v="364741560"/>
    <n v="6.2E-2"/>
    <n v="6.14"/>
    <n v="2.63"/>
    <m/>
    <m/>
    <s v="High Growth"/>
    <n v="55528754190"/>
    <x v="14"/>
  </r>
  <r>
    <n v="2019"/>
    <n v="8"/>
    <s v="RestOfWorld"/>
    <s v="X7"/>
    <n v="10456"/>
    <n v="91449"/>
    <n v="956190744"/>
    <n v="4.8000000000000001E-2"/>
    <n v="6.14"/>
    <n v="2.63"/>
    <m/>
    <m/>
    <s v="High Growth"/>
    <n v="55528754190"/>
    <x v="14"/>
  </r>
  <r>
    <n v="2019"/>
    <n v="8"/>
    <s v="RestOfWorld"/>
    <s v="i4"/>
    <n v="10996"/>
    <n v="66373"/>
    <n v="729837508"/>
    <n v="4.3999999999999997E-2"/>
    <n v="6.14"/>
    <n v="2.63"/>
    <m/>
    <m/>
    <s v="High Growth"/>
    <n v="55528754190"/>
    <x v="14"/>
  </r>
  <r>
    <n v="2019"/>
    <n v="8"/>
    <s v="RestOfWorld"/>
    <s v="iX"/>
    <n v="7355"/>
    <n v="76145"/>
    <n v="560046475"/>
    <n v="0.05"/>
    <n v="6.14"/>
    <n v="2.63"/>
    <m/>
    <m/>
    <s v="High Growth"/>
    <n v="55528754190"/>
    <x v="14"/>
  </r>
  <r>
    <n v="2019"/>
    <n v="8"/>
    <s v="RestOfWorld"/>
    <s v="MINI"/>
    <n v="11150"/>
    <n v="42308"/>
    <n v="471734200"/>
    <n v="0.04"/>
    <n v="6.14"/>
    <n v="2.63"/>
    <m/>
    <m/>
    <s v="High Growth"/>
    <n v="55528754190"/>
    <x v="14"/>
  </r>
  <r>
    <n v="2019"/>
    <n v="9"/>
    <s v="Europe"/>
    <s v="3 Series"/>
    <n v="11286"/>
    <n v="49384"/>
    <n v="557347824"/>
    <n v="1.6E-2"/>
    <n v="14.35"/>
    <n v="3.91"/>
    <m/>
    <m/>
    <s v="Low Growth"/>
    <n v="56325491359"/>
    <x v="15"/>
  </r>
  <r>
    <n v="2019"/>
    <n v="9"/>
    <s v="Europe"/>
    <s v="5 Series"/>
    <n v="3608"/>
    <n v="61851"/>
    <n v="223158408"/>
    <n v="4.2999999999999997E-2"/>
    <n v="14.35"/>
    <n v="3.91"/>
    <m/>
    <m/>
    <s v="High Growth"/>
    <n v="56325491359"/>
    <x v="15"/>
  </r>
  <r>
    <n v="2019"/>
    <n v="9"/>
    <s v="Europe"/>
    <s v="X3"/>
    <n v="11365"/>
    <n v="57687"/>
    <n v="655612755"/>
    <n v="4.9000000000000002E-2"/>
    <n v="14.35"/>
    <n v="3.91"/>
    <m/>
    <m/>
    <s v="High Growth"/>
    <n v="56325491359"/>
    <x v="15"/>
  </r>
  <r>
    <n v="2019"/>
    <n v="9"/>
    <s v="Europe"/>
    <s v="X5"/>
    <n v="10613"/>
    <n v="69973"/>
    <n v="742623449"/>
    <n v="3.9E-2"/>
    <n v="14.35"/>
    <n v="3.91"/>
    <m/>
    <m/>
    <s v="High Growth"/>
    <n v="56325491359"/>
    <x v="15"/>
  </r>
  <r>
    <n v="2019"/>
    <n v="9"/>
    <s v="Europe"/>
    <s v="X7"/>
    <n v="4453"/>
    <n v="91243"/>
    <n v="406305079"/>
    <n v="4.3999999999999997E-2"/>
    <n v="14.35"/>
    <n v="3.91"/>
    <m/>
    <m/>
    <s v="High Growth"/>
    <n v="56325491359"/>
    <x v="15"/>
  </r>
  <r>
    <n v="2019"/>
    <n v="9"/>
    <s v="Europe"/>
    <s v="i4"/>
    <n v="8495"/>
    <n v="63162"/>
    <n v="536561190"/>
    <n v="4.2999999999999997E-2"/>
    <n v="14.35"/>
    <n v="3.91"/>
    <m/>
    <m/>
    <s v="High Growth"/>
    <n v="56325491359"/>
    <x v="15"/>
  </r>
  <r>
    <n v="2019"/>
    <n v="9"/>
    <s v="Europe"/>
    <s v="iX"/>
    <n v="5069"/>
    <n v="76919"/>
    <n v="389902411"/>
    <n v="4.2999999999999997E-2"/>
    <n v="14.35"/>
    <n v="3.91"/>
    <m/>
    <m/>
    <s v="High Growth"/>
    <n v="56325491359"/>
    <x v="15"/>
  </r>
  <r>
    <n v="2019"/>
    <n v="9"/>
    <s v="Europe"/>
    <s v="MINI"/>
    <n v="5114"/>
    <n v="41641"/>
    <n v="212952074"/>
    <n v="4.9000000000000002E-2"/>
    <n v="14.35"/>
    <n v="3.91"/>
    <m/>
    <m/>
    <s v="High Growth"/>
    <n v="56325491359"/>
    <x v="15"/>
  </r>
  <r>
    <n v="2019"/>
    <n v="9"/>
    <s v="China"/>
    <s v="3 Series"/>
    <n v="8890"/>
    <n v="49590"/>
    <n v="440855100"/>
    <n v="2.1000000000000001E-2"/>
    <n v="15.09"/>
    <n v="2.52"/>
    <m/>
    <m/>
    <s v="Low Growth"/>
    <n v="58905926051"/>
    <x v="15"/>
  </r>
  <r>
    <n v="2019"/>
    <n v="9"/>
    <s v="China"/>
    <s v="5 Series"/>
    <n v="3592"/>
    <n v="63831"/>
    <n v="229280952"/>
    <n v="5.3999999999999999E-2"/>
    <n v="15.09"/>
    <n v="2.52"/>
    <m/>
    <m/>
    <s v="High Growth"/>
    <n v="58905926051"/>
    <x v="15"/>
  </r>
  <r>
    <n v="2019"/>
    <n v="9"/>
    <s v="China"/>
    <s v="X3"/>
    <n v="4159"/>
    <n v="59959"/>
    <n v="249369481"/>
    <n v="5.7000000000000002E-2"/>
    <n v="15.09"/>
    <n v="2.52"/>
    <m/>
    <m/>
    <s v="High Growth"/>
    <n v="58905926051"/>
    <x v="15"/>
  </r>
  <r>
    <n v="2019"/>
    <n v="9"/>
    <s v="China"/>
    <s v="X5"/>
    <n v="9953"/>
    <n v="68336"/>
    <n v="680148208"/>
    <n v="4.1000000000000002E-2"/>
    <n v="15.09"/>
    <n v="2.52"/>
    <m/>
    <m/>
    <s v="High Growth"/>
    <n v="58905926051"/>
    <x v="15"/>
  </r>
  <r>
    <n v="2019"/>
    <n v="9"/>
    <s v="China"/>
    <s v="X7"/>
    <n v="7659"/>
    <n v="93031"/>
    <n v="712524429"/>
    <n v="3.4000000000000002E-2"/>
    <n v="15.09"/>
    <n v="2.52"/>
    <m/>
    <m/>
    <s v="High Growth"/>
    <n v="58905926051"/>
    <x v="15"/>
  </r>
  <r>
    <n v="2019"/>
    <n v="9"/>
    <s v="China"/>
    <s v="i4"/>
    <n v="5028"/>
    <n v="63370"/>
    <n v="318624360"/>
    <n v="5.0999999999999997E-2"/>
    <n v="15.09"/>
    <n v="2.52"/>
    <m/>
    <m/>
    <s v="High Growth"/>
    <n v="58905926051"/>
    <x v="15"/>
  </r>
  <r>
    <n v="2019"/>
    <n v="9"/>
    <s v="China"/>
    <s v="iX"/>
    <n v="9603"/>
    <n v="76064"/>
    <n v="730442592"/>
    <n v="3.9E-2"/>
    <n v="15.09"/>
    <n v="2.52"/>
    <m/>
    <m/>
    <s v="High Growth"/>
    <n v="58905926051"/>
    <x v="15"/>
  </r>
  <r>
    <n v="2019"/>
    <n v="9"/>
    <s v="China"/>
    <s v="MINI"/>
    <n v="3508"/>
    <n v="43062"/>
    <n v="151061496"/>
    <n v="6.0999999999999999E-2"/>
    <n v="15.09"/>
    <n v="2.52"/>
    <m/>
    <m/>
    <s v="High Growth"/>
    <n v="58905926051"/>
    <x v="15"/>
  </r>
  <r>
    <n v="2019"/>
    <n v="9"/>
    <s v="USA"/>
    <s v="3 Series"/>
    <n v="9824"/>
    <n v="49669"/>
    <n v="487948256"/>
    <n v="4.2000000000000003E-2"/>
    <n v="15.59"/>
    <n v="3.37"/>
    <m/>
    <m/>
    <s v="High Growth"/>
    <n v="54599997295"/>
    <x v="15"/>
  </r>
  <r>
    <n v="2019"/>
    <n v="9"/>
    <s v="USA"/>
    <s v="5 Series"/>
    <n v="8071"/>
    <n v="61633"/>
    <n v="497439943"/>
    <n v="4.7E-2"/>
    <n v="15.59"/>
    <n v="3.37"/>
    <m/>
    <m/>
    <s v="High Growth"/>
    <n v="54599997295"/>
    <x v="15"/>
  </r>
  <r>
    <n v="2019"/>
    <n v="9"/>
    <s v="USA"/>
    <s v="X3"/>
    <n v="4551"/>
    <n v="56852"/>
    <n v="258733452"/>
    <n v="3.4000000000000002E-2"/>
    <n v="15.59"/>
    <n v="3.37"/>
    <m/>
    <m/>
    <s v="High Growth"/>
    <n v="54599997295"/>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99F2A-45C4-4C94-8B09-9C3F7CA416C3}"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pivotField showAll="0"/>
    <pivotField axis="axisRow" showAll="0">
      <items count="5">
        <item x="1"/>
        <item x="0"/>
        <item x="3"/>
        <item x="2"/>
        <item t="default"/>
      </items>
    </pivotField>
    <pivotField showAll="0"/>
    <pivotField showAll="0"/>
    <pivotField numFmtId="166" showAll="0"/>
    <pivotField dataField="1" numFmtId="165" showAll="0"/>
    <pivotField showAll="0"/>
    <pivotField showAll="0"/>
    <pivotField numFmtId="10" showAll="0"/>
    <pivotField showAll="0"/>
    <pivotField showAll="0"/>
    <pivotField showAll="0"/>
  </pivotFields>
  <rowFields count="1">
    <field x="2"/>
  </rowFields>
  <rowItems count="5">
    <i>
      <x/>
    </i>
    <i>
      <x v="1"/>
    </i>
    <i>
      <x v="2"/>
    </i>
    <i>
      <x v="3"/>
    </i>
    <i t="grand">
      <x/>
    </i>
  </rowItems>
  <colItems count="1">
    <i/>
  </colItems>
  <dataFields count="1">
    <dataField name="Sum of Revenue_EUR" fld="6" baseField="0" baseItem="0" numFmtId="165"/>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E45A36-61F5-4A2E-A7E4-E10818D3D0D7}"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B47" firstHeaderRow="1" firstDataRow="1" firstDataCol="1"/>
  <pivotFields count="13">
    <pivotField showAll="0"/>
    <pivotField showAll="0"/>
    <pivotField axis="axisRow" showAll="0">
      <items count="5">
        <item x="1"/>
        <item x="0"/>
        <item x="3"/>
        <item x="2"/>
        <item t="default"/>
      </items>
    </pivotField>
    <pivotField showAll="0"/>
    <pivotField showAll="0"/>
    <pivotField numFmtId="166" showAll="0"/>
    <pivotField numFmtId="165" showAll="0"/>
    <pivotField dataField="1" showAll="0"/>
    <pivotField showAll="0"/>
    <pivotField numFmtId="10" showAll="0"/>
    <pivotField showAll="0"/>
    <pivotField showAll="0"/>
    <pivotField showAll="0"/>
  </pivotFields>
  <rowFields count="1">
    <field x="2"/>
  </rowFields>
  <rowItems count="5">
    <i>
      <x/>
    </i>
    <i>
      <x v="1"/>
    </i>
    <i>
      <x v="2"/>
    </i>
    <i>
      <x v="3"/>
    </i>
    <i t="grand">
      <x/>
    </i>
  </rowItems>
  <colItems count="1">
    <i/>
  </colItems>
  <dataFields count="1">
    <dataField name="Sum of BEV_Share"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081D8D-3E34-4DF8-9857-003A34A8462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9" firstHeaderRow="1" firstDataRow="1" firstDataCol="1"/>
  <pivotFields count="10">
    <pivotField showAll="0"/>
    <pivotField showAll="0"/>
    <pivotField showAll="0"/>
    <pivotField axis="axisRow" showAll="0">
      <items count="9">
        <item x="0"/>
        <item x="1"/>
        <item x="5"/>
        <item x="6"/>
        <item x="7"/>
        <item x="2"/>
        <item x="3"/>
        <item x="4"/>
        <item t="default"/>
      </items>
    </pivotField>
    <pivotField dataField="1" showAll="0"/>
    <pivotField numFmtId="166" showAll="0"/>
    <pivotField numFmtId="165" showAll="0"/>
    <pivotField showAll="0"/>
    <pivotField showAll="0"/>
    <pivotField numFmtId="10" showAll="0"/>
  </pivotFields>
  <rowFields count="1">
    <field x="3"/>
  </rowFields>
  <rowItems count="9">
    <i>
      <x/>
    </i>
    <i>
      <x v="1"/>
    </i>
    <i>
      <x v="2"/>
    </i>
    <i>
      <x v="3"/>
    </i>
    <i>
      <x v="4"/>
    </i>
    <i>
      <x v="5"/>
    </i>
    <i>
      <x v="6"/>
    </i>
    <i>
      <x v="7"/>
    </i>
    <i t="grand">
      <x/>
    </i>
  </rowItems>
  <colItems count="1">
    <i/>
  </colItems>
  <dataFields count="1">
    <dataField name="Sum of Units_Sold" fld="4"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19B6A-96A0-41F4-9A16-8044C6B7404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6" firstHeaderRow="1" firstDataRow="1" firstDataCol="1"/>
  <pivotFields count="10">
    <pivotField showAll="0"/>
    <pivotField axis="axisRow" showAll="0">
      <items count="13">
        <item x="0"/>
        <item x="9"/>
        <item x="10"/>
        <item x="11"/>
        <item x="1"/>
        <item x="2"/>
        <item x="3"/>
        <item x="4"/>
        <item x="5"/>
        <item x="6"/>
        <item x="7"/>
        <item x="8"/>
        <item t="default"/>
      </items>
    </pivotField>
    <pivotField showAll="0"/>
    <pivotField showAll="0">
      <items count="9">
        <item x="0"/>
        <item x="1"/>
        <item x="5"/>
        <item x="6"/>
        <item x="7"/>
        <item x="2"/>
        <item x="3"/>
        <item x="4"/>
        <item t="default"/>
      </items>
    </pivotField>
    <pivotField showAll="0"/>
    <pivotField numFmtId="166" showAll="0"/>
    <pivotField dataField="1" numFmtId="165" showAll="0"/>
    <pivotField showAll="0"/>
    <pivotField showAll="0"/>
    <pivotField numFmtId="10" showAll="0"/>
  </pivotFields>
  <rowFields count="1">
    <field x="1"/>
  </rowFields>
  <rowItems count="13">
    <i>
      <x/>
    </i>
    <i>
      <x v="1"/>
    </i>
    <i>
      <x v="2"/>
    </i>
    <i>
      <x v="3"/>
    </i>
    <i>
      <x v="4"/>
    </i>
    <i>
      <x v="5"/>
    </i>
    <i>
      <x v="6"/>
    </i>
    <i>
      <x v="7"/>
    </i>
    <i>
      <x v="8"/>
    </i>
    <i>
      <x v="9"/>
    </i>
    <i>
      <x v="10"/>
    </i>
    <i>
      <x v="11"/>
    </i>
    <i t="grand">
      <x/>
    </i>
  </rowItems>
  <colItems count="1">
    <i/>
  </colItems>
  <dataFields count="1">
    <dataField name="Sum of Revenue_EUR" fld="6" baseField="0" baseItem="0" numFmtId="165"/>
  </dataFields>
  <chartFormats count="2">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B5DF57E-A906-4F2F-8DAA-EFCBFC8B61CA}" sourceName="Year">
  <data>
    <tabular pivotCacheId="848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21084C-1AE2-4D56-9015-C9AF8673A944}" sourceName="Model">
  <pivotTables>
    <pivotTable tabId="2" name="PivotTable3"/>
  </pivotTables>
  <data>
    <tabular pivotCacheId="848722795">
      <items count="8">
        <i x="0" s="1"/>
        <i x="1" s="1"/>
        <i x="5" s="1"/>
        <i x="6" s="1"/>
        <i x="7"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1E878F-FCAE-4BF6-B2ED-717AD7412FBB}" sourceName="Region">
  <pivotTables>
    <pivotTable tabId="2" name="PivotTable7"/>
  </pivotTables>
  <data>
    <tabular pivotCacheId="130088918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48C3AEE-121F-412A-A7C8-8DDBAA8D9DCA}" cache="Slicer_Year" caption="Year" style="SlicerStyleLight6" rowHeight="247650"/>
  <slicer name="Model" xr10:uid="{07F92D64-AEDD-44B5-A2CF-9DA39A2EFD30}" cache="Slicer_Model" caption="Model" columnCount="3" style="SlicerStyleLight6" rowHeight="247650"/>
  <slicer name="Region" xr10:uid="{89BF5F98-E122-4B1A-AA39-FFB7C070E1A8}" cache="Slicer_Region" caption="Region"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E6D2F3-DEE3-4A79-AB8A-3D2EAD8AB521}" name="Table2" displayName="Table2" ref="A1:O500" totalsRowShown="0">
  <autoFilter ref="A1:O500" xr:uid="{E8E6D2F3-DEE3-4A79-AB8A-3D2EAD8AB521}"/>
  <tableColumns count="15">
    <tableColumn id="1" xr3:uid="{BE8F7B8C-2887-4F06-A901-71B043AF41CD}" name="Year"/>
    <tableColumn id="2" xr3:uid="{3F4E054D-722E-4953-8F03-43C15A014EAC}" name="Month"/>
    <tableColumn id="3" xr3:uid="{DB8B4286-0E73-4155-8A8F-13A2BB68C119}" name="Region"/>
    <tableColumn id="4" xr3:uid="{9BB779D6-197E-4819-AB73-8F11DA9B1C17}" name="Model"/>
    <tableColumn id="5" xr3:uid="{A758AC92-8EF3-402F-80D1-518355535E95}" name="Units_Sold"/>
    <tableColumn id="6" xr3:uid="{9182D88F-C4F4-4DB8-9545-C12AA8FFD62F}" name="Avg_Price_EUR" dataDxfId="4"/>
    <tableColumn id="7" xr3:uid="{F3524B64-6043-411A-BC7B-C19795A6D36F}" name="Revenue_EUR" dataDxfId="3"/>
    <tableColumn id="8" xr3:uid="{FBA57B9F-EDE0-4A2B-A700-EB21DB7F41D5}" name="BEV_Share"/>
    <tableColumn id="9" xr3:uid="{57F18F2D-4E39-47DD-BBE0-7BDA90452AB4}" name="Premium_Share"/>
    <tableColumn id="10" xr3:uid="{136384DB-486C-4B66-A903-8D3C7BC67361}" name="GDP_Growth" dataDxfId="2"/>
    <tableColumn id="11" xr3:uid="{20ECF4C3-DD73-4E51-B8F5-746378FAAE98}" name="Vlookup"/>
    <tableColumn id="12" xr3:uid="{F8E3DD41-809E-4E25-9FDE-5D57C317729C}" name="Index match"/>
    <tableColumn id="13" xr3:uid="{1CEF4127-2AC2-4A53-867A-017B5EC7F153}" name="IF Condition">
      <calculatedColumnFormula>IF(H2&gt;0.03,"High Growth","Low Growth")</calculatedColumnFormula>
    </tableColumn>
    <tableColumn id="14" xr3:uid="{0B5B4C1F-FE0B-443E-A7E5-E5E90B491321}" name="Column1" dataDxfId="1">
      <calculatedColumnFormula>SUMIF(C:C, C2, G:G)</calculatedColumnFormula>
    </tableColumn>
    <tableColumn id="15" xr3:uid="{AD137E7D-B5B6-409F-812A-E6A9D70FAD43}" name="year2"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2" xr10:uid="{1BDA3BD4-AB6E-4D5A-90F4-6827C4AC4DF2}" sourceName="year2">
  <state minimalRefreshVersion="6" lastRefreshVersion="6" pivotCacheId="1017030872"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2 1" xr10:uid="{7EA8D448-77CF-4C3E-8CD5-6963112A4570}" cache="NativeTimeline_year2" caption="year2" level="2" selectionLevel="2" scrollPosition="2019-05-19T00:00:00" style="TimeSlicerStyleLight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16CFC-8C0C-4BE3-875F-61AAB0D220D2}">
  <sheetPr>
    <tabColor theme="9" tint="0.39997558519241921"/>
  </sheetPr>
  <dimension ref="A3:B47"/>
  <sheetViews>
    <sheetView tabSelected="1" topLeftCell="A25" zoomScaleNormal="100" workbookViewId="0">
      <selection activeCell="G56" sqref="G56"/>
    </sheetView>
  </sheetViews>
  <sheetFormatPr defaultRowHeight="14.4" x14ac:dyDescent="0.3"/>
  <cols>
    <col min="1" max="1" width="12.44140625" bestFit="1" customWidth="1"/>
    <col min="2" max="2" width="19.77734375" customWidth="1"/>
  </cols>
  <sheetData>
    <row r="3" spans="1:2" x14ac:dyDescent="0.3">
      <c r="A3" s="4" t="s">
        <v>22</v>
      </c>
      <c r="B3" t="s">
        <v>24</v>
      </c>
    </row>
    <row r="4" spans="1:2" x14ac:dyDescent="0.3">
      <c r="A4" s="5" t="s">
        <v>19</v>
      </c>
      <c r="B4" s="1">
        <v>58905926051</v>
      </c>
    </row>
    <row r="5" spans="1:2" x14ac:dyDescent="0.3">
      <c r="A5" s="5" t="s">
        <v>10</v>
      </c>
      <c r="B5" s="1">
        <v>56325491359</v>
      </c>
    </row>
    <row r="6" spans="1:2" x14ac:dyDescent="0.3">
      <c r="A6" s="5" t="s">
        <v>21</v>
      </c>
      <c r="B6" s="1">
        <v>55528754190</v>
      </c>
    </row>
    <row r="7" spans="1:2" x14ac:dyDescent="0.3">
      <c r="A7" s="5" t="s">
        <v>20</v>
      </c>
      <c r="B7" s="1">
        <v>54599997295</v>
      </c>
    </row>
    <row r="8" spans="1:2" x14ac:dyDescent="0.3">
      <c r="A8" s="5" t="s">
        <v>23</v>
      </c>
      <c r="B8" s="1">
        <v>225360168895</v>
      </c>
    </row>
    <row r="13" spans="1:2" x14ac:dyDescent="0.3">
      <c r="A13" s="4" t="s">
        <v>22</v>
      </c>
      <c r="B13" t="s">
        <v>24</v>
      </c>
    </row>
    <row r="14" spans="1:2" x14ac:dyDescent="0.3">
      <c r="A14" s="5">
        <v>1</v>
      </c>
      <c r="B14" s="1">
        <v>28141682683</v>
      </c>
    </row>
    <row r="15" spans="1:2" x14ac:dyDescent="0.3">
      <c r="A15" s="5">
        <v>2</v>
      </c>
      <c r="B15" s="1">
        <v>14262539157</v>
      </c>
    </row>
    <row r="16" spans="1:2" x14ac:dyDescent="0.3">
      <c r="A16" s="5">
        <v>3</v>
      </c>
      <c r="B16" s="1">
        <v>15742298559</v>
      </c>
    </row>
    <row r="17" spans="1:2" x14ac:dyDescent="0.3">
      <c r="A17" s="5">
        <v>4</v>
      </c>
      <c r="B17" s="1">
        <v>13961149660</v>
      </c>
    </row>
    <row r="18" spans="1:2" x14ac:dyDescent="0.3">
      <c r="A18" s="5">
        <v>5</v>
      </c>
      <c r="B18" s="1">
        <v>14066747403</v>
      </c>
    </row>
    <row r="19" spans="1:2" x14ac:dyDescent="0.3">
      <c r="A19" s="5">
        <v>6</v>
      </c>
      <c r="B19" s="1">
        <v>16132049293</v>
      </c>
    </row>
    <row r="20" spans="1:2" x14ac:dyDescent="0.3">
      <c r="A20" s="5">
        <v>7</v>
      </c>
      <c r="B20" s="1">
        <v>28939245556</v>
      </c>
    </row>
    <row r="21" spans="1:2" x14ac:dyDescent="0.3">
      <c r="A21" s="5">
        <v>8</v>
      </c>
      <c r="B21" s="1">
        <v>26750335726</v>
      </c>
    </row>
    <row r="22" spans="1:2" x14ac:dyDescent="0.3">
      <c r="A22" s="5">
        <v>9</v>
      </c>
      <c r="B22" s="1">
        <v>24678706819</v>
      </c>
    </row>
    <row r="23" spans="1:2" x14ac:dyDescent="0.3">
      <c r="A23" s="5">
        <v>10</v>
      </c>
      <c r="B23" s="1">
        <v>13673681419</v>
      </c>
    </row>
    <row r="24" spans="1:2" x14ac:dyDescent="0.3">
      <c r="A24" s="5">
        <v>11</v>
      </c>
      <c r="B24" s="1">
        <v>14679551797</v>
      </c>
    </row>
    <row r="25" spans="1:2" x14ac:dyDescent="0.3">
      <c r="A25" s="5">
        <v>12</v>
      </c>
      <c r="B25" s="1">
        <v>14332180823</v>
      </c>
    </row>
    <row r="26" spans="1:2" x14ac:dyDescent="0.3">
      <c r="A26" s="5" t="s">
        <v>23</v>
      </c>
      <c r="B26" s="1">
        <v>225360168895</v>
      </c>
    </row>
    <row r="30" spans="1:2" x14ac:dyDescent="0.3">
      <c r="A30" s="4" t="s">
        <v>22</v>
      </c>
      <c r="B30" t="s">
        <v>25</v>
      </c>
    </row>
    <row r="31" spans="1:2" x14ac:dyDescent="0.3">
      <c r="A31" s="5" t="s">
        <v>11</v>
      </c>
      <c r="B31" s="6">
        <v>456492</v>
      </c>
    </row>
    <row r="32" spans="1:2" x14ac:dyDescent="0.3">
      <c r="A32" s="5" t="s">
        <v>12</v>
      </c>
      <c r="B32" s="6">
        <v>412465</v>
      </c>
    </row>
    <row r="33" spans="1:2" x14ac:dyDescent="0.3">
      <c r="A33" s="5" t="s">
        <v>16</v>
      </c>
      <c r="B33" s="6">
        <v>459409</v>
      </c>
    </row>
    <row r="34" spans="1:2" x14ac:dyDescent="0.3">
      <c r="A34" s="5" t="s">
        <v>17</v>
      </c>
      <c r="B34" s="6">
        <v>415425</v>
      </c>
    </row>
    <row r="35" spans="1:2" x14ac:dyDescent="0.3">
      <c r="A35" s="5" t="s">
        <v>18</v>
      </c>
      <c r="B35" s="6">
        <v>411431</v>
      </c>
    </row>
    <row r="36" spans="1:2" x14ac:dyDescent="0.3">
      <c r="A36" s="5" t="s">
        <v>13</v>
      </c>
      <c r="B36" s="6">
        <v>474575</v>
      </c>
    </row>
    <row r="37" spans="1:2" x14ac:dyDescent="0.3">
      <c r="A37" s="5" t="s">
        <v>14</v>
      </c>
      <c r="B37" s="6">
        <v>465220</v>
      </c>
    </row>
    <row r="38" spans="1:2" x14ac:dyDescent="0.3">
      <c r="A38" s="5" t="s">
        <v>15</v>
      </c>
      <c r="B38" s="6">
        <v>435348</v>
      </c>
    </row>
    <row r="39" spans="1:2" x14ac:dyDescent="0.3">
      <c r="A39" s="5" t="s">
        <v>23</v>
      </c>
      <c r="B39" s="6">
        <v>3530365</v>
      </c>
    </row>
    <row r="42" spans="1:2" x14ac:dyDescent="0.3">
      <c r="A42" s="4" t="s">
        <v>22</v>
      </c>
      <c r="B42" t="s">
        <v>29</v>
      </c>
    </row>
    <row r="43" spans="1:2" x14ac:dyDescent="0.3">
      <c r="A43" s="5" t="s">
        <v>19</v>
      </c>
      <c r="B43" s="6">
        <v>3.8309999999999991</v>
      </c>
    </row>
    <row r="44" spans="1:2" x14ac:dyDescent="0.3">
      <c r="A44" s="5" t="s">
        <v>10</v>
      </c>
      <c r="B44" s="6">
        <v>4.2449999999999974</v>
      </c>
    </row>
    <row r="45" spans="1:2" x14ac:dyDescent="0.3">
      <c r="A45" s="5" t="s">
        <v>21</v>
      </c>
      <c r="B45" s="6">
        <v>3.6449999999999987</v>
      </c>
    </row>
    <row r="46" spans="1:2" x14ac:dyDescent="0.3">
      <c r="A46" s="5" t="s">
        <v>20</v>
      </c>
      <c r="B46" s="6">
        <v>3.6969999999999992</v>
      </c>
    </row>
    <row r="47" spans="1:2" x14ac:dyDescent="0.3">
      <c r="A47" s="5" t="s">
        <v>23</v>
      </c>
      <c r="B47" s="6">
        <v>15.417999999999996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4683-3241-4B50-8DE4-5DC5CA9D999A}">
  <sheetPr>
    <tabColor theme="9" tint="0.39997558519241921"/>
  </sheetPr>
  <dimension ref="C1:Q6"/>
  <sheetViews>
    <sheetView topLeftCell="B1" zoomScale="99" workbookViewId="0">
      <selection activeCell="U32" sqref="U32"/>
    </sheetView>
  </sheetViews>
  <sheetFormatPr defaultRowHeight="14.4" x14ac:dyDescent="0.3"/>
  <cols>
    <col min="4" max="4" width="19.88671875" bestFit="1" customWidth="1"/>
    <col min="12" max="12" width="11" bestFit="1" customWidth="1"/>
  </cols>
  <sheetData>
    <row r="1" spans="3:17" ht="31.2" customHeight="1" x14ac:dyDescent="0.3">
      <c r="F1" s="9" t="s">
        <v>30</v>
      </c>
      <c r="G1" s="9"/>
      <c r="H1" s="9"/>
      <c r="I1" s="9"/>
      <c r="J1" s="9"/>
      <c r="K1" s="9"/>
      <c r="L1" s="9"/>
      <c r="M1" s="9"/>
      <c r="N1" s="9"/>
      <c r="O1" s="9"/>
      <c r="P1" s="9"/>
      <c r="Q1" s="9"/>
    </row>
    <row r="3" spans="3:17" ht="21" x14ac:dyDescent="0.4">
      <c r="C3" s="8" t="s">
        <v>31</v>
      </c>
      <c r="D3" s="8"/>
      <c r="E3" s="8"/>
      <c r="G3" s="7" t="s">
        <v>32</v>
      </c>
      <c r="H3" s="7"/>
      <c r="I3" s="7"/>
      <c r="K3" s="7" t="s">
        <v>33</v>
      </c>
      <c r="L3" s="7"/>
      <c r="M3" s="7"/>
      <c r="O3" s="8" t="s">
        <v>34</v>
      </c>
      <c r="P3" s="8"/>
      <c r="Q3" s="8"/>
    </row>
    <row r="4" spans="3:17" x14ac:dyDescent="0.3">
      <c r="C4" s="10">
        <f>SUM(data!G2:G500)</f>
        <v>225360168895</v>
      </c>
      <c r="D4" s="10"/>
      <c r="E4" s="10"/>
      <c r="G4" s="11">
        <f>SUM(data!E2:E500)</f>
        <v>3530365</v>
      </c>
      <c r="H4" s="11"/>
      <c r="I4" s="11"/>
      <c r="K4" s="11" t="str">
        <f>INDEX(data!C2:C500, MATCH(MAX(data!N2:N500), data!N2:N500, 0))</f>
        <v>China</v>
      </c>
      <c r="L4" s="11"/>
      <c r="M4" s="11"/>
      <c r="O4" s="11" t="str">
        <f>INDEX(data!D2:D500, MATCH(MAX(data!G2:G500), data!G2:G500, 0))</f>
        <v>X7</v>
      </c>
      <c r="P4" s="11"/>
      <c r="Q4" s="11"/>
    </row>
    <row r="5" spans="3:17" x14ac:dyDescent="0.3">
      <c r="C5" s="10"/>
      <c r="D5" s="10"/>
      <c r="E5" s="10"/>
      <c r="G5" s="11"/>
      <c r="H5" s="11"/>
      <c r="I5" s="11"/>
      <c r="K5" s="11"/>
      <c r="L5" s="11"/>
      <c r="M5" s="11"/>
      <c r="O5" s="11"/>
      <c r="P5" s="11"/>
      <c r="Q5" s="11"/>
    </row>
    <row r="6" spans="3:17" x14ac:dyDescent="0.3">
      <c r="C6" s="10"/>
      <c r="D6" s="10"/>
      <c r="E6" s="10"/>
      <c r="G6" s="11"/>
      <c r="H6" s="11"/>
      <c r="I6" s="11"/>
      <c r="K6" s="11"/>
      <c r="L6" s="11"/>
      <c r="M6" s="11"/>
      <c r="O6" s="11"/>
      <c r="P6" s="11"/>
      <c r="Q6" s="11"/>
    </row>
  </sheetData>
  <mergeCells count="9">
    <mergeCell ref="F1:Q1"/>
    <mergeCell ref="C3:E3"/>
    <mergeCell ref="C4:E6"/>
    <mergeCell ref="G3:I3"/>
    <mergeCell ref="G4:I6"/>
    <mergeCell ref="K3:M3"/>
    <mergeCell ref="K4:M6"/>
    <mergeCell ref="O3:Q3"/>
    <mergeCell ref="O4:Q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A222-52F5-4749-81A0-F5E69862182C}">
  <sheetPr>
    <tabColor theme="9" tint="0.39997558519241921"/>
  </sheetPr>
  <dimension ref="A1:O500"/>
  <sheetViews>
    <sheetView zoomScaleNormal="100" workbookViewId="0">
      <selection activeCell="O11" sqref="O11"/>
    </sheetView>
  </sheetViews>
  <sheetFormatPr defaultRowHeight="14.4" x14ac:dyDescent="0.3"/>
  <cols>
    <col min="5" max="5" width="11.77734375" customWidth="1"/>
    <col min="6" max="6" width="15" customWidth="1"/>
    <col min="7" max="7" width="17.33203125" customWidth="1"/>
    <col min="8" max="8" width="11.77734375" customWidth="1"/>
    <col min="9" max="9" width="16.109375" customWidth="1"/>
    <col min="10" max="10" width="13.33203125" customWidth="1"/>
    <col min="11" max="11" width="14.88671875" customWidth="1"/>
    <col min="12" max="12" width="13.109375" customWidth="1"/>
    <col min="13" max="13" width="12.88671875" customWidth="1"/>
    <col min="14" max="14" width="18.5546875" customWidth="1"/>
    <col min="15" max="15" width="10.33203125" customWidth="1"/>
  </cols>
  <sheetData>
    <row r="1" spans="1:15" x14ac:dyDescent="0.3">
      <c r="A1" t="s">
        <v>0</v>
      </c>
      <c r="B1" t="s">
        <v>1</v>
      </c>
      <c r="C1" t="s">
        <v>2</v>
      </c>
      <c r="D1" t="s">
        <v>3</v>
      </c>
      <c r="E1" t="s">
        <v>4</v>
      </c>
      <c r="F1" t="s">
        <v>5</v>
      </c>
      <c r="G1" t="s">
        <v>6</v>
      </c>
      <c r="H1" t="s">
        <v>7</v>
      </c>
      <c r="I1" t="s">
        <v>8</v>
      </c>
      <c r="J1" t="s">
        <v>9</v>
      </c>
      <c r="K1" t="s">
        <v>26</v>
      </c>
      <c r="L1" t="s">
        <v>27</v>
      </c>
      <c r="M1" t="s">
        <v>28</v>
      </c>
      <c r="N1" t="s">
        <v>35</v>
      </c>
      <c r="O1" t="s">
        <v>36</v>
      </c>
    </row>
    <row r="2" spans="1:15" x14ac:dyDescent="0.3">
      <c r="A2">
        <v>2018</v>
      </c>
      <c r="B2">
        <v>1</v>
      </c>
      <c r="C2" t="s">
        <v>10</v>
      </c>
      <c r="D2" t="s">
        <v>11</v>
      </c>
      <c r="E2">
        <v>7822</v>
      </c>
      <c r="F2" s="2">
        <v>47482</v>
      </c>
      <c r="G2" s="1">
        <v>371404204</v>
      </c>
      <c r="H2">
        <v>1.0999999999999999E-2</v>
      </c>
      <c r="I2">
        <v>19.12</v>
      </c>
      <c r="J2" s="3">
        <v>3.5</v>
      </c>
      <c r="K2">
        <f>VLOOKUP(D5, D2:G500, 4, FALSE)</f>
        <v>504226100</v>
      </c>
      <c r="L2">
        <f>INDEX(G2:G500, MATCH(D5, D2:D500, 0))</f>
        <v>504226100</v>
      </c>
      <c r="M2" t="str">
        <f>IF(H2&gt;0.03,"High Growth","Low Growth")</f>
        <v>Low Growth</v>
      </c>
      <c r="N2" s="2">
        <f>SUMIF(C:C, C2, G:G)</f>
        <v>56325491359</v>
      </c>
      <c r="O2" s="12">
        <f t="shared" ref="O2:O65" si="0">DATE(A2,B2,1)</f>
        <v>43101</v>
      </c>
    </row>
    <row r="3" spans="1:15" x14ac:dyDescent="0.3">
      <c r="A3">
        <v>2018</v>
      </c>
      <c r="B3">
        <v>1</v>
      </c>
      <c r="C3" t="s">
        <v>10</v>
      </c>
      <c r="D3" t="s">
        <v>12</v>
      </c>
      <c r="E3">
        <v>10280</v>
      </c>
      <c r="F3" s="2">
        <v>61685</v>
      </c>
      <c r="G3" s="1">
        <v>634121800</v>
      </c>
      <c r="H3">
        <v>1.9E-2</v>
      </c>
      <c r="I3">
        <v>19.12</v>
      </c>
      <c r="J3" s="3">
        <v>3.5</v>
      </c>
      <c r="M3" t="str">
        <f t="shared" ref="M3:M66" si="1">IF(H3&gt;0.03,"High Growth","Low Growth")</f>
        <v>Low Growth</v>
      </c>
      <c r="N3" s="2">
        <f t="shared" ref="N3:N66" si="2">SUMIF(C:C, C3, G:G)</f>
        <v>56325491359</v>
      </c>
      <c r="O3" s="12">
        <f t="shared" si="0"/>
        <v>43101</v>
      </c>
    </row>
    <row r="4" spans="1:15" x14ac:dyDescent="0.3">
      <c r="A4">
        <v>2018</v>
      </c>
      <c r="B4">
        <v>1</v>
      </c>
      <c r="C4" t="s">
        <v>10</v>
      </c>
      <c r="D4" t="s">
        <v>13</v>
      </c>
      <c r="E4">
        <v>3105</v>
      </c>
      <c r="F4" s="2">
        <v>58433</v>
      </c>
      <c r="G4" s="1">
        <v>181434465</v>
      </c>
      <c r="H4">
        <v>2.1999999999999999E-2</v>
      </c>
      <c r="I4">
        <v>19.12</v>
      </c>
      <c r="J4" s="3">
        <v>3.5</v>
      </c>
      <c r="M4" t="str">
        <f t="shared" si="1"/>
        <v>Low Growth</v>
      </c>
      <c r="N4" s="2">
        <f t="shared" si="2"/>
        <v>56325491359</v>
      </c>
      <c r="O4" s="12">
        <f t="shared" si="0"/>
        <v>43101</v>
      </c>
    </row>
    <row r="5" spans="1:15" x14ac:dyDescent="0.3">
      <c r="A5">
        <v>2018</v>
      </c>
      <c r="B5">
        <v>1</v>
      </c>
      <c r="C5" t="s">
        <v>10</v>
      </c>
      <c r="D5" t="s">
        <v>14</v>
      </c>
      <c r="E5">
        <v>7420</v>
      </c>
      <c r="F5" s="2">
        <v>67955</v>
      </c>
      <c r="G5" s="1">
        <v>504226100</v>
      </c>
      <c r="H5">
        <v>2.1000000000000001E-2</v>
      </c>
      <c r="I5">
        <v>19.12</v>
      </c>
      <c r="J5" s="3">
        <v>3.5</v>
      </c>
      <c r="M5" t="str">
        <f t="shared" si="1"/>
        <v>Low Growth</v>
      </c>
      <c r="N5" s="2">
        <f t="shared" si="2"/>
        <v>56325491359</v>
      </c>
      <c r="O5" s="12">
        <f t="shared" si="0"/>
        <v>43101</v>
      </c>
    </row>
    <row r="6" spans="1:15" x14ac:dyDescent="0.3">
      <c r="A6">
        <v>2018</v>
      </c>
      <c r="B6">
        <v>1</v>
      </c>
      <c r="C6" t="s">
        <v>10</v>
      </c>
      <c r="D6" t="s">
        <v>15</v>
      </c>
      <c r="E6">
        <v>8474</v>
      </c>
      <c r="F6" s="2">
        <v>92300</v>
      </c>
      <c r="G6" s="1">
        <v>782150200</v>
      </c>
      <c r="H6">
        <v>3.5000000000000003E-2</v>
      </c>
      <c r="I6">
        <v>19.12</v>
      </c>
      <c r="J6" s="3">
        <v>3.5</v>
      </c>
      <c r="M6" t="str">
        <f t="shared" si="1"/>
        <v>High Growth</v>
      </c>
      <c r="N6" s="2">
        <f t="shared" si="2"/>
        <v>56325491359</v>
      </c>
      <c r="O6" s="12">
        <f t="shared" si="0"/>
        <v>43101</v>
      </c>
    </row>
    <row r="7" spans="1:15" x14ac:dyDescent="0.3">
      <c r="A7">
        <v>2018</v>
      </c>
      <c r="B7">
        <v>1</v>
      </c>
      <c r="C7" t="s">
        <v>10</v>
      </c>
      <c r="D7" t="s">
        <v>16</v>
      </c>
      <c r="E7">
        <v>10607</v>
      </c>
      <c r="F7" s="2">
        <v>64082</v>
      </c>
      <c r="G7" s="1">
        <v>679717774</v>
      </c>
      <c r="H7">
        <v>3.5000000000000003E-2</v>
      </c>
      <c r="I7">
        <v>19.12</v>
      </c>
      <c r="J7" s="3">
        <v>3.5</v>
      </c>
      <c r="M7" t="str">
        <f t="shared" si="1"/>
        <v>High Growth</v>
      </c>
      <c r="N7" s="2">
        <f t="shared" si="2"/>
        <v>56325491359</v>
      </c>
      <c r="O7" s="12">
        <f t="shared" si="0"/>
        <v>43101</v>
      </c>
    </row>
    <row r="8" spans="1:15" x14ac:dyDescent="0.3">
      <c r="A8">
        <v>2018</v>
      </c>
      <c r="B8">
        <v>1</v>
      </c>
      <c r="C8" t="s">
        <v>10</v>
      </c>
      <c r="D8" t="s">
        <v>17</v>
      </c>
      <c r="E8">
        <v>4805</v>
      </c>
      <c r="F8" s="2">
        <v>73975</v>
      </c>
      <c r="G8" s="1">
        <v>355449875</v>
      </c>
      <c r="H8">
        <v>1.6E-2</v>
      </c>
      <c r="I8">
        <v>19.12</v>
      </c>
      <c r="J8" s="3">
        <v>3.5</v>
      </c>
      <c r="M8" t="str">
        <f t="shared" si="1"/>
        <v>Low Growth</v>
      </c>
      <c r="N8" s="2">
        <f t="shared" si="2"/>
        <v>56325491359</v>
      </c>
      <c r="O8" s="12">
        <f t="shared" si="0"/>
        <v>43101</v>
      </c>
    </row>
    <row r="9" spans="1:15" x14ac:dyDescent="0.3">
      <c r="A9">
        <v>2018</v>
      </c>
      <c r="B9">
        <v>1</v>
      </c>
      <c r="C9" t="s">
        <v>10</v>
      </c>
      <c r="D9" t="s">
        <v>18</v>
      </c>
      <c r="E9">
        <v>2554</v>
      </c>
      <c r="F9" s="2">
        <v>43005</v>
      </c>
      <c r="G9" s="1">
        <v>109834770</v>
      </c>
      <c r="H9">
        <v>1.2999999999999999E-2</v>
      </c>
      <c r="I9">
        <v>19.12</v>
      </c>
      <c r="J9" s="3">
        <v>3.5</v>
      </c>
      <c r="M9" t="str">
        <f t="shared" si="1"/>
        <v>Low Growth</v>
      </c>
      <c r="N9" s="2">
        <f t="shared" si="2"/>
        <v>56325491359</v>
      </c>
      <c r="O9" s="12">
        <f t="shared" si="0"/>
        <v>43101</v>
      </c>
    </row>
    <row r="10" spans="1:15" x14ac:dyDescent="0.3">
      <c r="A10">
        <v>2018</v>
      </c>
      <c r="B10">
        <v>1</v>
      </c>
      <c r="C10" t="s">
        <v>19</v>
      </c>
      <c r="D10" t="s">
        <v>11</v>
      </c>
      <c r="E10">
        <v>3826</v>
      </c>
      <c r="F10" s="2">
        <v>48068</v>
      </c>
      <c r="G10" s="1">
        <v>183908168</v>
      </c>
      <c r="H10">
        <v>2.1000000000000001E-2</v>
      </c>
      <c r="I10">
        <v>17.600000000000001</v>
      </c>
      <c r="J10" s="3">
        <v>2.37</v>
      </c>
      <c r="M10" t="str">
        <f t="shared" si="1"/>
        <v>Low Growth</v>
      </c>
      <c r="N10" s="2">
        <f t="shared" si="2"/>
        <v>58905926051</v>
      </c>
      <c r="O10" s="12">
        <f t="shared" si="0"/>
        <v>43101</v>
      </c>
    </row>
    <row r="11" spans="1:15" x14ac:dyDescent="0.3">
      <c r="A11">
        <v>2018</v>
      </c>
      <c r="B11">
        <v>1</v>
      </c>
      <c r="C11" t="s">
        <v>19</v>
      </c>
      <c r="D11" t="s">
        <v>12</v>
      </c>
      <c r="E11">
        <v>7498</v>
      </c>
      <c r="F11" s="2">
        <v>62435</v>
      </c>
      <c r="G11" s="1">
        <v>468137630</v>
      </c>
      <c r="H11">
        <v>1.4999999999999999E-2</v>
      </c>
      <c r="I11">
        <v>17.600000000000001</v>
      </c>
      <c r="J11" s="3">
        <v>2.37</v>
      </c>
      <c r="M11" t="str">
        <f t="shared" si="1"/>
        <v>Low Growth</v>
      </c>
      <c r="N11" s="2">
        <f t="shared" si="2"/>
        <v>58905926051</v>
      </c>
      <c r="O11" s="12">
        <f t="shared" si="0"/>
        <v>43101</v>
      </c>
    </row>
    <row r="12" spans="1:15" x14ac:dyDescent="0.3">
      <c r="A12">
        <v>2018</v>
      </c>
      <c r="B12">
        <v>1</v>
      </c>
      <c r="C12" t="s">
        <v>19</v>
      </c>
      <c r="D12" t="s">
        <v>13</v>
      </c>
      <c r="E12">
        <v>10727</v>
      </c>
      <c r="F12" s="2">
        <v>57363</v>
      </c>
      <c r="G12" s="1">
        <v>615332901</v>
      </c>
      <c r="H12">
        <v>1.4E-2</v>
      </c>
      <c r="I12">
        <v>17.600000000000001</v>
      </c>
      <c r="J12" s="3">
        <v>2.37</v>
      </c>
      <c r="M12" t="str">
        <f t="shared" si="1"/>
        <v>Low Growth</v>
      </c>
      <c r="N12" s="2">
        <f t="shared" si="2"/>
        <v>58905926051</v>
      </c>
      <c r="O12" s="12">
        <f t="shared" si="0"/>
        <v>43101</v>
      </c>
    </row>
    <row r="13" spans="1:15" x14ac:dyDescent="0.3">
      <c r="A13">
        <v>2018</v>
      </c>
      <c r="B13">
        <v>1</v>
      </c>
      <c r="C13" t="s">
        <v>19</v>
      </c>
      <c r="D13" t="s">
        <v>14</v>
      </c>
      <c r="E13">
        <v>8298</v>
      </c>
      <c r="F13" s="2">
        <v>68390</v>
      </c>
      <c r="G13" s="1">
        <v>567500220</v>
      </c>
      <c r="H13">
        <v>1.7000000000000001E-2</v>
      </c>
      <c r="I13">
        <v>17.600000000000001</v>
      </c>
      <c r="J13" s="3">
        <v>2.37</v>
      </c>
      <c r="M13" t="str">
        <f t="shared" si="1"/>
        <v>Low Growth</v>
      </c>
      <c r="N13" s="2">
        <f t="shared" si="2"/>
        <v>58905926051</v>
      </c>
      <c r="O13" s="12">
        <f t="shared" si="0"/>
        <v>43101</v>
      </c>
    </row>
    <row r="14" spans="1:15" x14ac:dyDescent="0.3">
      <c r="A14">
        <v>2018</v>
      </c>
      <c r="B14">
        <v>1</v>
      </c>
      <c r="C14" t="s">
        <v>19</v>
      </c>
      <c r="D14" t="s">
        <v>15</v>
      </c>
      <c r="E14">
        <v>9119</v>
      </c>
      <c r="F14" s="2">
        <v>90034</v>
      </c>
      <c r="G14" s="1">
        <v>821020046</v>
      </c>
      <c r="H14">
        <v>0.02</v>
      </c>
      <c r="I14">
        <v>17.600000000000001</v>
      </c>
      <c r="J14" s="3">
        <v>2.37</v>
      </c>
      <c r="M14" t="str">
        <f t="shared" si="1"/>
        <v>Low Growth</v>
      </c>
      <c r="N14" s="2">
        <f t="shared" si="2"/>
        <v>58905926051</v>
      </c>
      <c r="O14" s="12">
        <f t="shared" si="0"/>
        <v>43101</v>
      </c>
    </row>
    <row r="15" spans="1:15" x14ac:dyDescent="0.3">
      <c r="A15">
        <v>2018</v>
      </c>
      <c r="B15">
        <v>1</v>
      </c>
      <c r="C15" t="s">
        <v>19</v>
      </c>
      <c r="D15" t="s">
        <v>16</v>
      </c>
      <c r="E15">
        <v>5369</v>
      </c>
      <c r="F15" s="2">
        <v>64955</v>
      </c>
      <c r="G15" s="1">
        <v>348743395</v>
      </c>
      <c r="H15">
        <v>8.9999999999999993E-3</v>
      </c>
      <c r="I15">
        <v>17.600000000000001</v>
      </c>
      <c r="J15" s="3">
        <v>2.37</v>
      </c>
      <c r="M15" t="str">
        <f t="shared" si="1"/>
        <v>Low Growth</v>
      </c>
      <c r="N15" s="2">
        <f t="shared" si="2"/>
        <v>58905926051</v>
      </c>
      <c r="O15" s="12">
        <f t="shared" si="0"/>
        <v>43101</v>
      </c>
    </row>
    <row r="16" spans="1:15" x14ac:dyDescent="0.3">
      <c r="A16">
        <v>2018</v>
      </c>
      <c r="B16">
        <v>1</v>
      </c>
      <c r="C16" t="s">
        <v>19</v>
      </c>
      <c r="D16" t="s">
        <v>17</v>
      </c>
      <c r="E16">
        <v>3880</v>
      </c>
      <c r="F16" s="2">
        <v>76461</v>
      </c>
      <c r="G16" s="1">
        <v>296668680</v>
      </c>
      <c r="H16">
        <v>7.0000000000000001E-3</v>
      </c>
      <c r="I16">
        <v>17.600000000000001</v>
      </c>
      <c r="J16" s="3">
        <v>2.37</v>
      </c>
      <c r="M16" t="str">
        <f t="shared" si="1"/>
        <v>Low Growth</v>
      </c>
      <c r="N16" s="2">
        <f t="shared" si="2"/>
        <v>58905926051</v>
      </c>
      <c r="O16" s="12">
        <f t="shared" si="0"/>
        <v>43101</v>
      </c>
    </row>
    <row r="17" spans="1:15" x14ac:dyDescent="0.3">
      <c r="A17">
        <v>2018</v>
      </c>
      <c r="B17">
        <v>1</v>
      </c>
      <c r="C17" t="s">
        <v>19</v>
      </c>
      <c r="D17" t="s">
        <v>18</v>
      </c>
      <c r="E17">
        <v>6025</v>
      </c>
      <c r="F17" s="2">
        <v>43893</v>
      </c>
      <c r="G17" s="1">
        <v>264455325</v>
      </c>
      <c r="H17">
        <v>3.1E-2</v>
      </c>
      <c r="I17">
        <v>17.600000000000001</v>
      </c>
      <c r="J17" s="3">
        <v>2.37</v>
      </c>
      <c r="M17" t="str">
        <f t="shared" si="1"/>
        <v>High Growth</v>
      </c>
      <c r="N17" s="2">
        <f t="shared" si="2"/>
        <v>58905926051</v>
      </c>
      <c r="O17" s="12">
        <f t="shared" si="0"/>
        <v>43101</v>
      </c>
    </row>
    <row r="18" spans="1:15" x14ac:dyDescent="0.3">
      <c r="A18">
        <v>2018</v>
      </c>
      <c r="B18">
        <v>1</v>
      </c>
      <c r="C18" t="s">
        <v>20</v>
      </c>
      <c r="D18" t="s">
        <v>11</v>
      </c>
      <c r="E18">
        <v>9622</v>
      </c>
      <c r="F18" s="2">
        <v>46337</v>
      </c>
      <c r="G18" s="1">
        <v>445854614</v>
      </c>
      <c r="H18">
        <v>0.01</v>
      </c>
      <c r="I18">
        <v>20.49</v>
      </c>
      <c r="J18" s="3">
        <v>0.82</v>
      </c>
      <c r="M18" t="str">
        <f t="shared" si="1"/>
        <v>Low Growth</v>
      </c>
      <c r="N18" s="2">
        <f t="shared" si="2"/>
        <v>54599997295</v>
      </c>
      <c r="O18" s="12">
        <f t="shared" si="0"/>
        <v>43101</v>
      </c>
    </row>
    <row r="19" spans="1:15" x14ac:dyDescent="0.3">
      <c r="A19">
        <v>2018</v>
      </c>
      <c r="B19">
        <v>1</v>
      </c>
      <c r="C19" t="s">
        <v>20</v>
      </c>
      <c r="D19" t="s">
        <v>12</v>
      </c>
      <c r="E19">
        <v>3209</v>
      </c>
      <c r="F19" s="2">
        <v>61076</v>
      </c>
      <c r="G19" s="1">
        <v>195992884</v>
      </c>
      <c r="H19">
        <v>4.0000000000000001E-3</v>
      </c>
      <c r="I19">
        <v>20.49</v>
      </c>
      <c r="J19" s="3">
        <v>0.82</v>
      </c>
      <c r="M19" t="str">
        <f t="shared" si="1"/>
        <v>Low Growth</v>
      </c>
      <c r="N19" s="2">
        <f t="shared" si="2"/>
        <v>54599997295</v>
      </c>
      <c r="O19" s="12">
        <f t="shared" si="0"/>
        <v>43101</v>
      </c>
    </row>
    <row r="20" spans="1:15" x14ac:dyDescent="0.3">
      <c r="A20">
        <v>2018</v>
      </c>
      <c r="B20">
        <v>1</v>
      </c>
      <c r="C20" t="s">
        <v>20</v>
      </c>
      <c r="D20" t="s">
        <v>13</v>
      </c>
      <c r="E20">
        <v>7017</v>
      </c>
      <c r="F20" s="2">
        <v>56379</v>
      </c>
      <c r="G20" s="1">
        <v>395611443</v>
      </c>
      <c r="H20">
        <v>7.0000000000000001E-3</v>
      </c>
      <c r="I20">
        <v>20.49</v>
      </c>
      <c r="J20" s="3">
        <v>0.82</v>
      </c>
      <c r="M20" t="str">
        <f t="shared" si="1"/>
        <v>Low Growth</v>
      </c>
      <c r="N20" s="2">
        <f t="shared" si="2"/>
        <v>54599997295</v>
      </c>
      <c r="O20" s="12">
        <f t="shared" si="0"/>
        <v>43101</v>
      </c>
    </row>
    <row r="21" spans="1:15" x14ac:dyDescent="0.3">
      <c r="A21">
        <v>2018</v>
      </c>
      <c r="B21">
        <v>1</v>
      </c>
      <c r="C21" t="s">
        <v>20</v>
      </c>
      <c r="D21" t="s">
        <v>14</v>
      </c>
      <c r="E21">
        <v>10624</v>
      </c>
      <c r="F21" s="2">
        <v>70112</v>
      </c>
      <c r="G21" s="1">
        <v>744869888</v>
      </c>
      <c r="H21">
        <v>1.0999999999999999E-2</v>
      </c>
      <c r="I21">
        <v>20.49</v>
      </c>
      <c r="J21" s="3">
        <v>0.82</v>
      </c>
      <c r="M21" t="str">
        <f t="shared" si="1"/>
        <v>Low Growth</v>
      </c>
      <c r="N21" s="2">
        <f t="shared" si="2"/>
        <v>54599997295</v>
      </c>
      <c r="O21" s="12">
        <f t="shared" si="0"/>
        <v>43101</v>
      </c>
    </row>
    <row r="22" spans="1:15" x14ac:dyDescent="0.3">
      <c r="A22">
        <v>2018</v>
      </c>
      <c r="B22">
        <v>1</v>
      </c>
      <c r="C22" t="s">
        <v>20</v>
      </c>
      <c r="D22" t="s">
        <v>15</v>
      </c>
      <c r="E22">
        <v>7387</v>
      </c>
      <c r="F22" s="2">
        <v>91698</v>
      </c>
      <c r="G22" s="1">
        <v>677373126</v>
      </c>
      <c r="H22">
        <v>2.5999999999999999E-2</v>
      </c>
      <c r="I22">
        <v>20.49</v>
      </c>
      <c r="J22" s="3">
        <v>0.82</v>
      </c>
      <c r="M22" t="str">
        <f t="shared" si="1"/>
        <v>Low Growth</v>
      </c>
      <c r="N22" s="2">
        <f t="shared" si="2"/>
        <v>54599997295</v>
      </c>
      <c r="O22" s="12">
        <f t="shared" si="0"/>
        <v>43101</v>
      </c>
    </row>
    <row r="23" spans="1:15" x14ac:dyDescent="0.3">
      <c r="A23">
        <v>2018</v>
      </c>
      <c r="B23">
        <v>1</v>
      </c>
      <c r="C23" t="s">
        <v>20</v>
      </c>
      <c r="D23" t="s">
        <v>16</v>
      </c>
      <c r="E23">
        <v>7972</v>
      </c>
      <c r="F23" s="2">
        <v>66561</v>
      </c>
      <c r="G23" s="1">
        <v>530624292</v>
      </c>
      <c r="H23">
        <v>2.9000000000000001E-2</v>
      </c>
      <c r="I23">
        <v>20.49</v>
      </c>
      <c r="J23" s="3">
        <v>0.82</v>
      </c>
      <c r="M23" t="str">
        <f t="shared" si="1"/>
        <v>Low Growth</v>
      </c>
      <c r="N23" s="2">
        <f t="shared" si="2"/>
        <v>54599997295</v>
      </c>
      <c r="O23" s="12">
        <f t="shared" si="0"/>
        <v>43101</v>
      </c>
    </row>
    <row r="24" spans="1:15" x14ac:dyDescent="0.3">
      <c r="A24">
        <v>2018</v>
      </c>
      <c r="B24">
        <v>1</v>
      </c>
      <c r="C24" t="s">
        <v>20</v>
      </c>
      <c r="D24" t="s">
        <v>17</v>
      </c>
      <c r="E24">
        <v>8249</v>
      </c>
      <c r="F24" s="2">
        <v>73502</v>
      </c>
      <c r="G24" s="1">
        <v>606317998</v>
      </c>
      <c r="H24">
        <v>1.0999999999999999E-2</v>
      </c>
      <c r="I24">
        <v>20.49</v>
      </c>
      <c r="J24" s="3">
        <v>0.82</v>
      </c>
      <c r="M24" t="str">
        <f t="shared" si="1"/>
        <v>Low Growth</v>
      </c>
      <c r="N24" s="2">
        <f t="shared" si="2"/>
        <v>54599997295</v>
      </c>
      <c r="O24" s="12">
        <f t="shared" si="0"/>
        <v>43101</v>
      </c>
    </row>
    <row r="25" spans="1:15" x14ac:dyDescent="0.3">
      <c r="A25">
        <v>2018</v>
      </c>
      <c r="B25">
        <v>1</v>
      </c>
      <c r="C25" t="s">
        <v>20</v>
      </c>
      <c r="D25" t="s">
        <v>18</v>
      </c>
      <c r="E25">
        <v>4706</v>
      </c>
      <c r="F25" s="2">
        <v>43645</v>
      </c>
      <c r="G25" s="1">
        <v>205393370</v>
      </c>
      <c r="H25">
        <v>1.9E-2</v>
      </c>
      <c r="I25">
        <v>20.49</v>
      </c>
      <c r="J25" s="3">
        <v>0.82</v>
      </c>
      <c r="M25" t="str">
        <f t="shared" si="1"/>
        <v>Low Growth</v>
      </c>
      <c r="N25" s="2">
        <f t="shared" si="2"/>
        <v>54599997295</v>
      </c>
      <c r="O25" s="12">
        <f t="shared" si="0"/>
        <v>43101</v>
      </c>
    </row>
    <row r="26" spans="1:15" x14ac:dyDescent="0.3">
      <c r="A26">
        <v>2018</v>
      </c>
      <c r="B26">
        <v>1</v>
      </c>
      <c r="C26" t="s">
        <v>21</v>
      </c>
      <c r="D26" t="s">
        <v>11</v>
      </c>
      <c r="E26">
        <v>10121</v>
      </c>
      <c r="F26" s="2">
        <v>47485</v>
      </c>
      <c r="G26" s="1">
        <v>480595685</v>
      </c>
      <c r="H26">
        <v>0</v>
      </c>
      <c r="I26">
        <v>6.28</v>
      </c>
      <c r="J26" s="3">
        <v>4.18</v>
      </c>
      <c r="M26" t="str">
        <f t="shared" si="1"/>
        <v>Low Growth</v>
      </c>
      <c r="N26" s="2">
        <f t="shared" si="2"/>
        <v>55528754190</v>
      </c>
      <c r="O26" s="12">
        <f t="shared" si="0"/>
        <v>43101</v>
      </c>
    </row>
    <row r="27" spans="1:15" x14ac:dyDescent="0.3">
      <c r="A27">
        <v>2018</v>
      </c>
      <c r="B27">
        <v>1</v>
      </c>
      <c r="C27" t="s">
        <v>21</v>
      </c>
      <c r="D27" t="s">
        <v>12</v>
      </c>
      <c r="E27">
        <v>6023</v>
      </c>
      <c r="F27" s="2">
        <v>61028</v>
      </c>
      <c r="G27" s="1">
        <v>367571644</v>
      </c>
      <c r="H27">
        <v>3.1E-2</v>
      </c>
      <c r="I27">
        <v>6.28</v>
      </c>
      <c r="J27" s="3">
        <v>4.18</v>
      </c>
      <c r="M27" t="str">
        <f t="shared" si="1"/>
        <v>High Growth</v>
      </c>
      <c r="N27" s="2">
        <f t="shared" si="2"/>
        <v>55528754190</v>
      </c>
      <c r="O27" s="12">
        <f t="shared" si="0"/>
        <v>43101</v>
      </c>
    </row>
    <row r="28" spans="1:15" x14ac:dyDescent="0.3">
      <c r="A28">
        <v>2018</v>
      </c>
      <c r="B28">
        <v>1</v>
      </c>
      <c r="C28" t="s">
        <v>21</v>
      </c>
      <c r="D28" t="s">
        <v>13</v>
      </c>
      <c r="E28">
        <v>9390</v>
      </c>
      <c r="F28" s="2">
        <v>58842</v>
      </c>
      <c r="G28" s="1">
        <v>552526380</v>
      </c>
      <c r="H28">
        <v>1.2E-2</v>
      </c>
      <c r="I28">
        <v>6.28</v>
      </c>
      <c r="J28" s="3">
        <v>4.18</v>
      </c>
      <c r="M28" t="str">
        <f t="shared" si="1"/>
        <v>Low Growth</v>
      </c>
      <c r="N28" s="2">
        <f t="shared" si="2"/>
        <v>55528754190</v>
      </c>
      <c r="O28" s="12">
        <f t="shared" si="0"/>
        <v>43101</v>
      </c>
    </row>
    <row r="29" spans="1:15" x14ac:dyDescent="0.3">
      <c r="A29">
        <v>2018</v>
      </c>
      <c r="B29">
        <v>1</v>
      </c>
      <c r="C29" t="s">
        <v>21</v>
      </c>
      <c r="D29" t="s">
        <v>14</v>
      </c>
      <c r="E29">
        <v>6638</v>
      </c>
      <c r="F29" s="2">
        <v>67206</v>
      </c>
      <c r="G29" s="1">
        <v>446113428</v>
      </c>
      <c r="H29">
        <v>1.2E-2</v>
      </c>
      <c r="I29">
        <v>6.28</v>
      </c>
      <c r="J29" s="3">
        <v>4.18</v>
      </c>
      <c r="M29" t="str">
        <f t="shared" si="1"/>
        <v>Low Growth</v>
      </c>
      <c r="N29" s="2">
        <f t="shared" si="2"/>
        <v>55528754190</v>
      </c>
      <c r="O29" s="12">
        <f t="shared" si="0"/>
        <v>43101</v>
      </c>
    </row>
    <row r="30" spans="1:15" x14ac:dyDescent="0.3">
      <c r="A30">
        <v>2018</v>
      </c>
      <c r="B30">
        <v>1</v>
      </c>
      <c r="C30" t="s">
        <v>21</v>
      </c>
      <c r="D30" t="s">
        <v>15</v>
      </c>
      <c r="E30">
        <v>7252</v>
      </c>
      <c r="F30" s="2">
        <v>93762</v>
      </c>
      <c r="G30" s="1">
        <v>679962024</v>
      </c>
      <c r="H30">
        <v>1.7999999999999999E-2</v>
      </c>
      <c r="I30">
        <v>6.28</v>
      </c>
      <c r="J30" s="3">
        <v>4.18</v>
      </c>
      <c r="M30" t="str">
        <f t="shared" si="1"/>
        <v>Low Growth</v>
      </c>
      <c r="N30" s="2">
        <f t="shared" si="2"/>
        <v>55528754190</v>
      </c>
      <c r="O30" s="12">
        <f t="shared" si="0"/>
        <v>43101</v>
      </c>
    </row>
    <row r="31" spans="1:15" x14ac:dyDescent="0.3">
      <c r="A31">
        <v>2018</v>
      </c>
      <c r="B31">
        <v>1</v>
      </c>
      <c r="C31" t="s">
        <v>21</v>
      </c>
      <c r="D31" t="s">
        <v>16</v>
      </c>
      <c r="E31">
        <v>3194</v>
      </c>
      <c r="F31" s="2">
        <v>65790</v>
      </c>
      <c r="G31" s="1">
        <v>210133260</v>
      </c>
      <c r="H31">
        <v>0.01</v>
      </c>
      <c r="I31">
        <v>6.28</v>
      </c>
      <c r="J31" s="3">
        <v>4.18</v>
      </c>
      <c r="M31" t="str">
        <f t="shared" si="1"/>
        <v>Low Growth</v>
      </c>
      <c r="N31" s="2">
        <f t="shared" si="2"/>
        <v>55528754190</v>
      </c>
      <c r="O31" s="12">
        <f t="shared" si="0"/>
        <v>43101</v>
      </c>
    </row>
    <row r="32" spans="1:15" x14ac:dyDescent="0.3">
      <c r="A32">
        <v>2018</v>
      </c>
      <c r="B32">
        <v>1</v>
      </c>
      <c r="C32" t="s">
        <v>21</v>
      </c>
      <c r="D32" t="s">
        <v>17</v>
      </c>
      <c r="E32">
        <v>9412</v>
      </c>
      <c r="F32" s="2">
        <v>74757</v>
      </c>
      <c r="G32" s="1">
        <v>703612884</v>
      </c>
      <c r="H32">
        <v>2.1000000000000001E-2</v>
      </c>
      <c r="I32">
        <v>6.28</v>
      </c>
      <c r="J32" s="3">
        <v>4.18</v>
      </c>
      <c r="M32" t="str">
        <f t="shared" si="1"/>
        <v>Low Growth</v>
      </c>
      <c r="N32" s="2">
        <f t="shared" si="2"/>
        <v>55528754190</v>
      </c>
      <c r="O32" s="12">
        <f t="shared" si="0"/>
        <v>43101</v>
      </c>
    </row>
    <row r="33" spans="1:15" x14ac:dyDescent="0.3">
      <c r="A33">
        <v>2018</v>
      </c>
      <c r="B33">
        <v>1</v>
      </c>
      <c r="C33" t="s">
        <v>21</v>
      </c>
      <c r="D33" t="s">
        <v>18</v>
      </c>
      <c r="E33">
        <v>9570</v>
      </c>
      <c r="F33" s="2">
        <v>42278</v>
      </c>
      <c r="G33" s="1">
        <v>404600460</v>
      </c>
      <c r="H33">
        <v>0</v>
      </c>
      <c r="I33">
        <v>6.28</v>
      </c>
      <c r="J33" s="3">
        <v>4.18</v>
      </c>
      <c r="M33" t="str">
        <f t="shared" si="1"/>
        <v>Low Growth</v>
      </c>
      <c r="N33" s="2">
        <f t="shared" si="2"/>
        <v>55528754190</v>
      </c>
      <c r="O33" s="12">
        <f t="shared" si="0"/>
        <v>43101</v>
      </c>
    </row>
    <row r="34" spans="1:15" x14ac:dyDescent="0.3">
      <c r="A34">
        <v>2018</v>
      </c>
      <c r="B34">
        <v>5</v>
      </c>
      <c r="C34" t="s">
        <v>10</v>
      </c>
      <c r="D34" t="s">
        <v>11</v>
      </c>
      <c r="E34">
        <v>5143</v>
      </c>
      <c r="F34" s="2">
        <v>47365</v>
      </c>
      <c r="G34" s="1">
        <v>243598195</v>
      </c>
      <c r="H34">
        <v>3.3000000000000002E-2</v>
      </c>
      <c r="I34">
        <v>19.260000000000002</v>
      </c>
      <c r="J34" s="3">
        <v>2.78</v>
      </c>
      <c r="M34" t="str">
        <f t="shared" si="1"/>
        <v>High Growth</v>
      </c>
      <c r="N34" s="2">
        <f t="shared" si="2"/>
        <v>56325491359</v>
      </c>
      <c r="O34" s="12">
        <f t="shared" si="0"/>
        <v>43221</v>
      </c>
    </row>
    <row r="35" spans="1:15" x14ac:dyDescent="0.3">
      <c r="A35">
        <v>2018</v>
      </c>
      <c r="B35">
        <v>5</v>
      </c>
      <c r="C35" t="s">
        <v>10</v>
      </c>
      <c r="D35" t="s">
        <v>12</v>
      </c>
      <c r="E35">
        <v>6642</v>
      </c>
      <c r="F35" s="2">
        <v>60698</v>
      </c>
      <c r="G35" s="1">
        <v>403156116</v>
      </c>
      <c r="H35">
        <v>0.02</v>
      </c>
      <c r="I35">
        <v>19.260000000000002</v>
      </c>
      <c r="J35" s="3">
        <v>2.78</v>
      </c>
      <c r="M35" t="str">
        <f t="shared" si="1"/>
        <v>Low Growth</v>
      </c>
      <c r="N35" s="2">
        <f t="shared" si="2"/>
        <v>56325491359</v>
      </c>
      <c r="O35" s="12">
        <f t="shared" si="0"/>
        <v>43221</v>
      </c>
    </row>
    <row r="36" spans="1:15" x14ac:dyDescent="0.3">
      <c r="A36">
        <v>2018</v>
      </c>
      <c r="B36">
        <v>5</v>
      </c>
      <c r="C36" t="s">
        <v>10</v>
      </c>
      <c r="D36" t="s">
        <v>13</v>
      </c>
      <c r="E36">
        <v>9201</v>
      </c>
      <c r="F36" s="2">
        <v>59455</v>
      </c>
      <c r="G36" s="1">
        <v>547045455</v>
      </c>
      <c r="H36">
        <v>2.3E-2</v>
      </c>
      <c r="I36">
        <v>19.260000000000002</v>
      </c>
      <c r="J36" s="3">
        <v>2.78</v>
      </c>
      <c r="M36" t="str">
        <f t="shared" si="1"/>
        <v>Low Growth</v>
      </c>
      <c r="N36" s="2">
        <f t="shared" si="2"/>
        <v>56325491359</v>
      </c>
      <c r="O36" s="12">
        <f t="shared" si="0"/>
        <v>43221</v>
      </c>
    </row>
    <row r="37" spans="1:15" x14ac:dyDescent="0.3">
      <c r="A37">
        <v>2018</v>
      </c>
      <c r="B37">
        <v>5</v>
      </c>
      <c r="C37" t="s">
        <v>10</v>
      </c>
      <c r="D37" t="s">
        <v>14</v>
      </c>
      <c r="E37">
        <v>7073</v>
      </c>
      <c r="F37" s="2">
        <v>70577</v>
      </c>
      <c r="G37" s="1">
        <v>499191121</v>
      </c>
      <c r="H37">
        <v>1.9E-2</v>
      </c>
      <c r="I37">
        <v>19.260000000000002</v>
      </c>
      <c r="J37" s="3">
        <v>2.78</v>
      </c>
      <c r="M37" t="str">
        <f t="shared" si="1"/>
        <v>Low Growth</v>
      </c>
      <c r="N37" s="2">
        <f t="shared" si="2"/>
        <v>56325491359</v>
      </c>
      <c r="O37" s="12">
        <f t="shared" si="0"/>
        <v>43221</v>
      </c>
    </row>
    <row r="38" spans="1:15" x14ac:dyDescent="0.3">
      <c r="A38">
        <v>2018</v>
      </c>
      <c r="B38">
        <v>5</v>
      </c>
      <c r="C38" t="s">
        <v>10</v>
      </c>
      <c r="D38" t="s">
        <v>15</v>
      </c>
      <c r="E38">
        <v>7586</v>
      </c>
      <c r="F38" s="2">
        <v>91492</v>
      </c>
      <c r="G38" s="1">
        <v>694058312</v>
      </c>
      <c r="H38">
        <v>3.1E-2</v>
      </c>
      <c r="I38">
        <v>19.260000000000002</v>
      </c>
      <c r="J38" s="3">
        <v>2.78</v>
      </c>
      <c r="M38" t="str">
        <f t="shared" si="1"/>
        <v>High Growth</v>
      </c>
      <c r="N38" s="2">
        <f t="shared" si="2"/>
        <v>56325491359</v>
      </c>
      <c r="O38" s="12">
        <f t="shared" si="0"/>
        <v>43221</v>
      </c>
    </row>
    <row r="39" spans="1:15" x14ac:dyDescent="0.3">
      <c r="A39">
        <v>2018</v>
      </c>
      <c r="B39">
        <v>5</v>
      </c>
      <c r="C39" t="s">
        <v>10</v>
      </c>
      <c r="D39" t="s">
        <v>16</v>
      </c>
      <c r="E39">
        <v>9643</v>
      </c>
      <c r="F39" s="2">
        <v>66636</v>
      </c>
      <c r="G39" s="1">
        <v>642570948</v>
      </c>
      <c r="H39">
        <v>4.1000000000000002E-2</v>
      </c>
      <c r="I39">
        <v>19.260000000000002</v>
      </c>
      <c r="J39" s="3">
        <v>2.78</v>
      </c>
      <c r="M39" t="str">
        <f t="shared" si="1"/>
        <v>High Growth</v>
      </c>
      <c r="N39" s="2">
        <f t="shared" si="2"/>
        <v>56325491359</v>
      </c>
      <c r="O39" s="12">
        <f t="shared" si="0"/>
        <v>43221</v>
      </c>
    </row>
    <row r="40" spans="1:15" x14ac:dyDescent="0.3">
      <c r="A40">
        <v>2018</v>
      </c>
      <c r="B40">
        <v>5</v>
      </c>
      <c r="C40" t="s">
        <v>10</v>
      </c>
      <c r="D40" t="s">
        <v>17</v>
      </c>
      <c r="E40">
        <v>3483</v>
      </c>
      <c r="F40" s="2">
        <v>76294</v>
      </c>
      <c r="G40" s="1">
        <v>265732002</v>
      </c>
      <c r="H40">
        <v>1.2999999999999999E-2</v>
      </c>
      <c r="I40">
        <v>19.260000000000002</v>
      </c>
      <c r="J40" s="3">
        <v>2.78</v>
      </c>
      <c r="M40" t="str">
        <f t="shared" si="1"/>
        <v>Low Growth</v>
      </c>
      <c r="N40" s="2">
        <f t="shared" si="2"/>
        <v>56325491359</v>
      </c>
      <c r="O40" s="12">
        <f t="shared" si="0"/>
        <v>43221</v>
      </c>
    </row>
    <row r="41" spans="1:15" x14ac:dyDescent="0.3">
      <c r="A41">
        <v>2018</v>
      </c>
      <c r="B41">
        <v>5</v>
      </c>
      <c r="C41" t="s">
        <v>10</v>
      </c>
      <c r="D41" t="s">
        <v>18</v>
      </c>
      <c r="E41">
        <v>6867</v>
      </c>
      <c r="F41" s="2">
        <v>41156</v>
      </c>
      <c r="G41" s="1">
        <v>282618252</v>
      </c>
      <c r="H41">
        <v>0.02</v>
      </c>
      <c r="I41">
        <v>19.260000000000002</v>
      </c>
      <c r="J41" s="3">
        <v>2.78</v>
      </c>
      <c r="M41" t="str">
        <f t="shared" si="1"/>
        <v>Low Growth</v>
      </c>
      <c r="N41" s="2">
        <f t="shared" si="2"/>
        <v>56325491359</v>
      </c>
      <c r="O41" s="12">
        <f t="shared" si="0"/>
        <v>43221</v>
      </c>
    </row>
    <row r="42" spans="1:15" x14ac:dyDescent="0.3">
      <c r="A42">
        <v>2018</v>
      </c>
      <c r="B42">
        <v>5</v>
      </c>
      <c r="C42" t="s">
        <v>19</v>
      </c>
      <c r="D42" t="s">
        <v>11</v>
      </c>
      <c r="E42">
        <v>6978</v>
      </c>
      <c r="F42" s="2">
        <v>48539</v>
      </c>
      <c r="G42" s="1">
        <v>338705142</v>
      </c>
      <c r="H42">
        <v>2.4E-2</v>
      </c>
      <c r="I42">
        <v>18.940000000000001</v>
      </c>
      <c r="J42" s="3">
        <v>3.32</v>
      </c>
      <c r="M42" t="str">
        <f t="shared" si="1"/>
        <v>Low Growth</v>
      </c>
      <c r="N42" s="2">
        <f t="shared" si="2"/>
        <v>58905926051</v>
      </c>
      <c r="O42" s="12">
        <f t="shared" si="0"/>
        <v>43221</v>
      </c>
    </row>
    <row r="43" spans="1:15" x14ac:dyDescent="0.3">
      <c r="A43">
        <v>2018</v>
      </c>
      <c r="B43">
        <v>5</v>
      </c>
      <c r="C43" t="s">
        <v>19</v>
      </c>
      <c r="D43" t="s">
        <v>12</v>
      </c>
      <c r="E43">
        <v>9078</v>
      </c>
      <c r="F43" s="2">
        <v>63324</v>
      </c>
      <c r="G43" s="1">
        <v>574855272</v>
      </c>
      <c r="H43">
        <v>1.4E-2</v>
      </c>
      <c r="I43">
        <v>18.940000000000001</v>
      </c>
      <c r="J43" s="3">
        <v>3.32</v>
      </c>
      <c r="M43" t="str">
        <f t="shared" si="1"/>
        <v>Low Growth</v>
      </c>
      <c r="N43" s="2">
        <f t="shared" si="2"/>
        <v>58905926051</v>
      </c>
      <c r="O43" s="12">
        <f t="shared" si="0"/>
        <v>43221</v>
      </c>
    </row>
    <row r="44" spans="1:15" x14ac:dyDescent="0.3">
      <c r="A44">
        <v>2018</v>
      </c>
      <c r="B44">
        <v>5</v>
      </c>
      <c r="C44" t="s">
        <v>19</v>
      </c>
      <c r="D44" t="s">
        <v>13</v>
      </c>
      <c r="E44">
        <v>3839</v>
      </c>
      <c r="F44" s="2">
        <v>57416</v>
      </c>
      <c r="G44" s="1">
        <v>220420024</v>
      </c>
      <c r="H44">
        <v>6.0000000000000001E-3</v>
      </c>
      <c r="I44">
        <v>18.940000000000001</v>
      </c>
      <c r="J44" s="3">
        <v>3.32</v>
      </c>
      <c r="M44" t="str">
        <f t="shared" si="1"/>
        <v>Low Growth</v>
      </c>
      <c r="N44" s="2">
        <f t="shared" si="2"/>
        <v>58905926051</v>
      </c>
      <c r="O44" s="12">
        <f t="shared" si="0"/>
        <v>43221</v>
      </c>
    </row>
    <row r="45" spans="1:15" x14ac:dyDescent="0.3">
      <c r="A45">
        <v>2018</v>
      </c>
      <c r="B45">
        <v>5</v>
      </c>
      <c r="C45" t="s">
        <v>19</v>
      </c>
      <c r="D45" t="s">
        <v>14</v>
      </c>
      <c r="E45">
        <v>8966</v>
      </c>
      <c r="F45" s="2">
        <v>69681</v>
      </c>
      <c r="G45" s="1">
        <v>624759846</v>
      </c>
      <c r="H45">
        <v>1.6E-2</v>
      </c>
      <c r="I45">
        <v>18.940000000000001</v>
      </c>
      <c r="J45" s="3">
        <v>3.32</v>
      </c>
      <c r="M45" t="str">
        <f t="shared" si="1"/>
        <v>Low Growth</v>
      </c>
      <c r="N45" s="2">
        <f t="shared" si="2"/>
        <v>58905926051</v>
      </c>
      <c r="O45" s="12">
        <f t="shared" si="0"/>
        <v>43221</v>
      </c>
    </row>
    <row r="46" spans="1:15" x14ac:dyDescent="0.3">
      <c r="A46">
        <v>2018</v>
      </c>
      <c r="B46">
        <v>5</v>
      </c>
      <c r="C46" t="s">
        <v>19</v>
      </c>
      <c r="D46" t="s">
        <v>15</v>
      </c>
      <c r="E46">
        <v>11313</v>
      </c>
      <c r="F46" s="2">
        <v>90510</v>
      </c>
      <c r="G46" s="1">
        <v>1023939630</v>
      </c>
      <c r="H46">
        <v>3.2000000000000001E-2</v>
      </c>
      <c r="I46">
        <v>18.940000000000001</v>
      </c>
      <c r="J46" s="3">
        <v>3.32</v>
      </c>
      <c r="M46" t="str">
        <f t="shared" si="1"/>
        <v>High Growth</v>
      </c>
      <c r="N46" s="2">
        <f t="shared" si="2"/>
        <v>58905926051</v>
      </c>
      <c r="O46" s="12">
        <f t="shared" si="0"/>
        <v>43221</v>
      </c>
    </row>
    <row r="47" spans="1:15" x14ac:dyDescent="0.3">
      <c r="A47">
        <v>2018</v>
      </c>
      <c r="B47">
        <v>5</v>
      </c>
      <c r="C47" t="s">
        <v>19</v>
      </c>
      <c r="D47" t="s">
        <v>16</v>
      </c>
      <c r="E47">
        <v>9494</v>
      </c>
      <c r="F47" s="2">
        <v>63216</v>
      </c>
      <c r="G47" s="1">
        <v>600172704</v>
      </c>
      <c r="H47">
        <v>1.4999999999999999E-2</v>
      </c>
      <c r="I47">
        <v>18.940000000000001</v>
      </c>
      <c r="J47" s="3">
        <v>3.32</v>
      </c>
      <c r="M47" t="str">
        <f t="shared" si="1"/>
        <v>Low Growth</v>
      </c>
      <c r="N47" s="2">
        <f t="shared" si="2"/>
        <v>58905926051</v>
      </c>
      <c r="O47" s="12">
        <f t="shared" si="0"/>
        <v>43221</v>
      </c>
    </row>
    <row r="48" spans="1:15" x14ac:dyDescent="0.3">
      <c r="A48">
        <v>2018</v>
      </c>
      <c r="B48">
        <v>5</v>
      </c>
      <c r="C48" t="s">
        <v>19</v>
      </c>
      <c r="D48" t="s">
        <v>17</v>
      </c>
      <c r="E48">
        <v>3632</v>
      </c>
      <c r="F48" s="2">
        <v>76486</v>
      </c>
      <c r="G48" s="1">
        <v>277797152</v>
      </c>
      <c r="H48">
        <v>1.2999999999999999E-2</v>
      </c>
      <c r="I48">
        <v>18.940000000000001</v>
      </c>
      <c r="J48" s="3">
        <v>3.32</v>
      </c>
      <c r="M48" t="str">
        <f t="shared" si="1"/>
        <v>Low Growth</v>
      </c>
      <c r="N48" s="2">
        <f t="shared" si="2"/>
        <v>58905926051</v>
      </c>
      <c r="O48" s="12">
        <f t="shared" si="0"/>
        <v>43221</v>
      </c>
    </row>
    <row r="49" spans="1:15" x14ac:dyDescent="0.3">
      <c r="A49">
        <v>2018</v>
      </c>
      <c r="B49">
        <v>5</v>
      </c>
      <c r="C49" t="s">
        <v>19</v>
      </c>
      <c r="D49" t="s">
        <v>18</v>
      </c>
      <c r="E49">
        <v>4094</v>
      </c>
      <c r="F49" s="2">
        <v>42492</v>
      </c>
      <c r="G49" s="1">
        <v>173962248</v>
      </c>
      <c r="H49">
        <v>3.4000000000000002E-2</v>
      </c>
      <c r="I49">
        <v>18.940000000000001</v>
      </c>
      <c r="J49" s="3">
        <v>3.32</v>
      </c>
      <c r="M49" t="str">
        <f t="shared" si="1"/>
        <v>High Growth</v>
      </c>
      <c r="N49" s="2">
        <f t="shared" si="2"/>
        <v>58905926051</v>
      </c>
      <c r="O49" s="12">
        <f t="shared" si="0"/>
        <v>43221</v>
      </c>
    </row>
    <row r="50" spans="1:15" x14ac:dyDescent="0.3">
      <c r="A50">
        <v>2018</v>
      </c>
      <c r="B50">
        <v>5</v>
      </c>
      <c r="C50" t="s">
        <v>20</v>
      </c>
      <c r="D50" t="s">
        <v>11</v>
      </c>
      <c r="E50">
        <v>6429</v>
      </c>
      <c r="F50" s="2">
        <v>47081</v>
      </c>
      <c r="G50" s="1">
        <v>302683749</v>
      </c>
      <c r="H50">
        <v>0.02</v>
      </c>
      <c r="I50">
        <v>15.74</v>
      </c>
      <c r="J50" s="3">
        <v>4.4800000000000004</v>
      </c>
      <c r="M50" t="str">
        <f t="shared" si="1"/>
        <v>Low Growth</v>
      </c>
      <c r="N50" s="2">
        <f t="shared" si="2"/>
        <v>54599997295</v>
      </c>
      <c r="O50" s="12">
        <f t="shared" si="0"/>
        <v>43221</v>
      </c>
    </row>
    <row r="51" spans="1:15" x14ac:dyDescent="0.3">
      <c r="A51">
        <v>2018</v>
      </c>
      <c r="B51">
        <v>5</v>
      </c>
      <c r="C51" t="s">
        <v>20</v>
      </c>
      <c r="D51" t="s">
        <v>12</v>
      </c>
      <c r="E51">
        <v>8663</v>
      </c>
      <c r="F51" s="2">
        <v>60455</v>
      </c>
      <c r="G51" s="1">
        <v>523721665</v>
      </c>
      <c r="H51">
        <v>1.7000000000000001E-2</v>
      </c>
      <c r="I51">
        <v>15.74</v>
      </c>
      <c r="J51" s="3">
        <v>4.4800000000000004</v>
      </c>
      <c r="M51" t="str">
        <f t="shared" si="1"/>
        <v>Low Growth</v>
      </c>
      <c r="N51" s="2">
        <f t="shared" si="2"/>
        <v>54599997295</v>
      </c>
      <c r="O51" s="12">
        <f t="shared" si="0"/>
        <v>43221</v>
      </c>
    </row>
    <row r="52" spans="1:15" x14ac:dyDescent="0.3">
      <c r="A52">
        <v>2018</v>
      </c>
      <c r="B52">
        <v>5</v>
      </c>
      <c r="C52" t="s">
        <v>20</v>
      </c>
      <c r="D52" t="s">
        <v>13</v>
      </c>
      <c r="E52">
        <v>11006</v>
      </c>
      <c r="F52" s="2">
        <v>57996</v>
      </c>
      <c r="G52" s="1">
        <v>638303976</v>
      </c>
      <c r="H52">
        <v>3.3000000000000002E-2</v>
      </c>
      <c r="I52">
        <v>15.74</v>
      </c>
      <c r="J52" s="3">
        <v>4.4800000000000004</v>
      </c>
      <c r="M52" t="str">
        <f t="shared" si="1"/>
        <v>High Growth</v>
      </c>
      <c r="N52" s="2">
        <f t="shared" si="2"/>
        <v>54599997295</v>
      </c>
      <c r="O52" s="12">
        <f t="shared" si="0"/>
        <v>43221</v>
      </c>
    </row>
    <row r="53" spans="1:15" x14ac:dyDescent="0.3">
      <c r="A53">
        <v>2018</v>
      </c>
      <c r="B53">
        <v>5</v>
      </c>
      <c r="C53" t="s">
        <v>20</v>
      </c>
      <c r="D53" t="s">
        <v>14</v>
      </c>
      <c r="E53">
        <v>2853</v>
      </c>
      <c r="F53" s="2">
        <v>68214</v>
      </c>
      <c r="G53" s="1">
        <v>194614542</v>
      </c>
      <c r="H53">
        <v>2.8000000000000001E-2</v>
      </c>
      <c r="I53">
        <v>15.74</v>
      </c>
      <c r="J53" s="3">
        <v>4.4800000000000004</v>
      </c>
      <c r="M53" t="str">
        <f t="shared" si="1"/>
        <v>Low Growth</v>
      </c>
      <c r="N53" s="2">
        <f t="shared" si="2"/>
        <v>54599997295</v>
      </c>
      <c r="O53" s="12">
        <f t="shared" si="0"/>
        <v>43221</v>
      </c>
    </row>
    <row r="54" spans="1:15" x14ac:dyDescent="0.3">
      <c r="A54">
        <v>2018</v>
      </c>
      <c r="B54">
        <v>5</v>
      </c>
      <c r="C54" t="s">
        <v>20</v>
      </c>
      <c r="D54" t="s">
        <v>15</v>
      </c>
      <c r="E54">
        <v>3829</v>
      </c>
      <c r="F54" s="2">
        <v>90933</v>
      </c>
      <c r="G54" s="1">
        <v>348182457</v>
      </c>
      <c r="H54">
        <v>2.7E-2</v>
      </c>
      <c r="I54">
        <v>15.74</v>
      </c>
      <c r="J54" s="3">
        <v>4.4800000000000004</v>
      </c>
      <c r="M54" t="str">
        <f t="shared" si="1"/>
        <v>Low Growth</v>
      </c>
      <c r="N54" s="2">
        <f t="shared" si="2"/>
        <v>54599997295</v>
      </c>
      <c r="O54" s="12">
        <f t="shared" si="0"/>
        <v>43221</v>
      </c>
    </row>
    <row r="55" spans="1:15" x14ac:dyDescent="0.3">
      <c r="A55">
        <v>2018</v>
      </c>
      <c r="B55">
        <v>5</v>
      </c>
      <c r="C55" t="s">
        <v>20</v>
      </c>
      <c r="D55" t="s">
        <v>16</v>
      </c>
      <c r="E55">
        <v>2501</v>
      </c>
      <c r="F55" s="2">
        <v>65105</v>
      </c>
      <c r="G55" s="1">
        <v>162827605</v>
      </c>
      <c r="H55">
        <v>1.6E-2</v>
      </c>
      <c r="I55">
        <v>15.74</v>
      </c>
      <c r="J55" s="3">
        <v>4.4800000000000004</v>
      </c>
      <c r="M55" t="str">
        <f t="shared" si="1"/>
        <v>Low Growth</v>
      </c>
      <c r="N55" s="2">
        <f t="shared" si="2"/>
        <v>54599997295</v>
      </c>
      <c r="O55" s="12">
        <f t="shared" si="0"/>
        <v>43221</v>
      </c>
    </row>
    <row r="56" spans="1:15" x14ac:dyDescent="0.3">
      <c r="A56">
        <v>2018</v>
      </c>
      <c r="B56">
        <v>5</v>
      </c>
      <c r="C56" t="s">
        <v>20</v>
      </c>
      <c r="D56" t="s">
        <v>17</v>
      </c>
      <c r="E56">
        <v>5820</v>
      </c>
      <c r="F56" s="2">
        <v>73814</v>
      </c>
      <c r="G56" s="1">
        <v>429597480</v>
      </c>
      <c r="H56">
        <v>0.02</v>
      </c>
      <c r="I56">
        <v>15.74</v>
      </c>
      <c r="J56" s="3">
        <v>4.4800000000000004</v>
      </c>
      <c r="M56" t="str">
        <f t="shared" si="1"/>
        <v>Low Growth</v>
      </c>
      <c r="N56" s="2">
        <f t="shared" si="2"/>
        <v>54599997295</v>
      </c>
      <c r="O56" s="12">
        <f t="shared" si="0"/>
        <v>43221</v>
      </c>
    </row>
    <row r="57" spans="1:15" x14ac:dyDescent="0.3">
      <c r="A57">
        <v>2018</v>
      </c>
      <c r="B57">
        <v>5</v>
      </c>
      <c r="C57" t="s">
        <v>20</v>
      </c>
      <c r="D57" t="s">
        <v>18</v>
      </c>
      <c r="E57">
        <v>6341</v>
      </c>
      <c r="F57" s="2">
        <v>42933</v>
      </c>
      <c r="G57" s="1">
        <v>272238153</v>
      </c>
      <c r="H57">
        <v>2.4E-2</v>
      </c>
      <c r="I57">
        <v>15.74</v>
      </c>
      <c r="J57" s="3">
        <v>4.4800000000000004</v>
      </c>
      <c r="M57" t="str">
        <f t="shared" si="1"/>
        <v>Low Growth</v>
      </c>
      <c r="N57" s="2">
        <f t="shared" si="2"/>
        <v>54599997295</v>
      </c>
      <c r="O57" s="12">
        <f t="shared" si="0"/>
        <v>43221</v>
      </c>
    </row>
    <row r="58" spans="1:15" x14ac:dyDescent="0.3">
      <c r="A58">
        <v>2018</v>
      </c>
      <c r="B58">
        <v>5</v>
      </c>
      <c r="C58" t="s">
        <v>21</v>
      </c>
      <c r="D58" t="s">
        <v>11</v>
      </c>
      <c r="E58">
        <v>8255</v>
      </c>
      <c r="F58" s="2">
        <v>49486</v>
      </c>
      <c r="G58" s="1">
        <v>408506930</v>
      </c>
      <c r="H58">
        <v>3.5000000000000003E-2</v>
      </c>
      <c r="I58">
        <v>5.15</v>
      </c>
      <c r="J58" s="3">
        <v>3.84</v>
      </c>
      <c r="M58" t="str">
        <f t="shared" si="1"/>
        <v>High Growth</v>
      </c>
      <c r="N58" s="2">
        <f t="shared" si="2"/>
        <v>55528754190</v>
      </c>
      <c r="O58" s="12">
        <f t="shared" si="0"/>
        <v>43221</v>
      </c>
    </row>
    <row r="59" spans="1:15" x14ac:dyDescent="0.3">
      <c r="A59">
        <v>2018</v>
      </c>
      <c r="B59">
        <v>5</v>
      </c>
      <c r="C59" t="s">
        <v>21</v>
      </c>
      <c r="D59" t="s">
        <v>12</v>
      </c>
      <c r="E59">
        <v>5779</v>
      </c>
      <c r="F59" s="2">
        <v>61396</v>
      </c>
      <c r="G59" s="1">
        <v>354807484</v>
      </c>
      <c r="H59">
        <v>0.03</v>
      </c>
      <c r="I59">
        <v>5.15</v>
      </c>
      <c r="J59" s="3">
        <v>3.84</v>
      </c>
      <c r="M59" t="str">
        <f t="shared" si="1"/>
        <v>Low Growth</v>
      </c>
      <c r="N59" s="2">
        <f t="shared" si="2"/>
        <v>55528754190</v>
      </c>
      <c r="O59" s="12">
        <f t="shared" si="0"/>
        <v>43221</v>
      </c>
    </row>
    <row r="60" spans="1:15" x14ac:dyDescent="0.3">
      <c r="A60">
        <v>2018</v>
      </c>
      <c r="B60">
        <v>5</v>
      </c>
      <c r="C60" t="s">
        <v>21</v>
      </c>
      <c r="D60" t="s">
        <v>13</v>
      </c>
      <c r="E60">
        <v>10025</v>
      </c>
      <c r="F60" s="2">
        <v>59018</v>
      </c>
      <c r="G60" s="1">
        <v>591655450</v>
      </c>
      <c r="H60">
        <v>3.4000000000000002E-2</v>
      </c>
      <c r="I60">
        <v>5.15</v>
      </c>
      <c r="J60" s="3">
        <v>3.84</v>
      </c>
      <c r="M60" t="str">
        <f t="shared" si="1"/>
        <v>High Growth</v>
      </c>
      <c r="N60" s="2">
        <f t="shared" si="2"/>
        <v>55528754190</v>
      </c>
      <c r="O60" s="12">
        <f t="shared" si="0"/>
        <v>43221</v>
      </c>
    </row>
    <row r="61" spans="1:15" x14ac:dyDescent="0.3">
      <c r="A61">
        <v>2018</v>
      </c>
      <c r="B61">
        <v>5</v>
      </c>
      <c r="C61" t="s">
        <v>21</v>
      </c>
      <c r="D61" t="s">
        <v>14</v>
      </c>
      <c r="E61">
        <v>3660</v>
      </c>
      <c r="F61" s="2">
        <v>69783</v>
      </c>
      <c r="G61" s="1">
        <v>255405780</v>
      </c>
      <c r="H61">
        <v>1.2999999999999999E-2</v>
      </c>
      <c r="I61">
        <v>5.15</v>
      </c>
      <c r="J61" s="3">
        <v>3.84</v>
      </c>
      <c r="M61" t="str">
        <f t="shared" si="1"/>
        <v>Low Growth</v>
      </c>
      <c r="N61" s="2">
        <f t="shared" si="2"/>
        <v>55528754190</v>
      </c>
      <c r="O61" s="12">
        <f t="shared" si="0"/>
        <v>43221</v>
      </c>
    </row>
    <row r="62" spans="1:15" x14ac:dyDescent="0.3">
      <c r="A62">
        <v>2018</v>
      </c>
      <c r="B62">
        <v>5</v>
      </c>
      <c r="C62" t="s">
        <v>21</v>
      </c>
      <c r="D62" t="s">
        <v>15</v>
      </c>
      <c r="E62">
        <v>7184</v>
      </c>
      <c r="F62" s="2">
        <v>90372</v>
      </c>
      <c r="G62" s="1">
        <v>649232448</v>
      </c>
      <c r="H62">
        <v>1.0999999999999999E-2</v>
      </c>
      <c r="I62">
        <v>5.15</v>
      </c>
      <c r="J62" s="3">
        <v>3.84</v>
      </c>
      <c r="M62" t="str">
        <f t="shared" si="1"/>
        <v>Low Growth</v>
      </c>
      <c r="N62" s="2">
        <f t="shared" si="2"/>
        <v>55528754190</v>
      </c>
      <c r="O62" s="12">
        <f t="shared" si="0"/>
        <v>43221</v>
      </c>
    </row>
    <row r="63" spans="1:15" x14ac:dyDescent="0.3">
      <c r="A63">
        <v>2018</v>
      </c>
      <c r="B63">
        <v>5</v>
      </c>
      <c r="C63" t="s">
        <v>21</v>
      </c>
      <c r="D63" t="s">
        <v>16</v>
      </c>
      <c r="E63">
        <v>11245</v>
      </c>
      <c r="F63" s="2">
        <v>64371</v>
      </c>
      <c r="G63" s="1">
        <v>723851895</v>
      </c>
      <c r="H63">
        <v>1.7999999999999999E-2</v>
      </c>
      <c r="I63">
        <v>5.15</v>
      </c>
      <c r="J63" s="3">
        <v>3.84</v>
      </c>
      <c r="M63" t="str">
        <f t="shared" si="1"/>
        <v>Low Growth</v>
      </c>
      <c r="N63" s="2">
        <f t="shared" si="2"/>
        <v>55528754190</v>
      </c>
      <c r="O63" s="12">
        <f t="shared" si="0"/>
        <v>43221</v>
      </c>
    </row>
    <row r="64" spans="1:15" x14ac:dyDescent="0.3">
      <c r="A64">
        <v>2018</v>
      </c>
      <c r="B64">
        <v>5</v>
      </c>
      <c r="C64" t="s">
        <v>21</v>
      </c>
      <c r="D64" t="s">
        <v>17</v>
      </c>
      <c r="E64">
        <v>8853</v>
      </c>
      <c r="F64" s="2">
        <v>76249</v>
      </c>
      <c r="G64" s="1">
        <v>675032397</v>
      </c>
      <c r="H64">
        <v>-1E-3</v>
      </c>
      <c r="I64">
        <v>5.15</v>
      </c>
      <c r="J64" s="3">
        <v>3.84</v>
      </c>
      <c r="M64" t="str">
        <f t="shared" si="1"/>
        <v>Low Growth</v>
      </c>
      <c r="N64" s="2">
        <f t="shared" si="2"/>
        <v>55528754190</v>
      </c>
      <c r="O64" s="12">
        <f t="shared" si="0"/>
        <v>43221</v>
      </c>
    </row>
    <row r="65" spans="1:15" x14ac:dyDescent="0.3">
      <c r="A65">
        <v>2018</v>
      </c>
      <c r="B65">
        <v>5</v>
      </c>
      <c r="C65" t="s">
        <v>21</v>
      </c>
      <c r="D65" t="s">
        <v>18</v>
      </c>
      <c r="E65">
        <v>2887</v>
      </c>
      <c r="F65" s="2">
        <v>42779</v>
      </c>
      <c r="G65" s="1">
        <v>123502973</v>
      </c>
      <c r="H65">
        <v>1.4999999999999999E-2</v>
      </c>
      <c r="I65">
        <v>5.15</v>
      </c>
      <c r="J65" s="3">
        <v>3.84</v>
      </c>
      <c r="M65" t="str">
        <f t="shared" si="1"/>
        <v>Low Growth</v>
      </c>
      <c r="N65" s="2">
        <f t="shared" si="2"/>
        <v>55528754190</v>
      </c>
      <c r="O65" s="12">
        <f t="shared" si="0"/>
        <v>43221</v>
      </c>
    </row>
    <row r="66" spans="1:15" x14ac:dyDescent="0.3">
      <c r="A66">
        <v>2018</v>
      </c>
      <c r="B66">
        <v>6</v>
      </c>
      <c r="C66" t="s">
        <v>10</v>
      </c>
      <c r="D66" t="s">
        <v>11</v>
      </c>
      <c r="E66">
        <v>10562</v>
      </c>
      <c r="F66" s="2">
        <v>49795</v>
      </c>
      <c r="G66" s="1">
        <v>525934790</v>
      </c>
      <c r="H66">
        <v>1E-3</v>
      </c>
      <c r="I66">
        <v>17.170000000000002</v>
      </c>
      <c r="J66" s="3">
        <v>1.67</v>
      </c>
      <c r="M66" t="str">
        <f t="shared" si="1"/>
        <v>Low Growth</v>
      </c>
      <c r="N66" s="2">
        <f t="shared" si="2"/>
        <v>56325491359</v>
      </c>
      <c r="O66" s="12">
        <f t="shared" ref="O66:O129" si="3">DATE(A66,B66,1)</f>
        <v>43252</v>
      </c>
    </row>
    <row r="67" spans="1:15" x14ac:dyDescent="0.3">
      <c r="A67">
        <v>2018</v>
      </c>
      <c r="B67">
        <v>6</v>
      </c>
      <c r="C67" t="s">
        <v>10</v>
      </c>
      <c r="D67" t="s">
        <v>12</v>
      </c>
      <c r="E67">
        <v>5806</v>
      </c>
      <c r="F67" s="2">
        <v>62799</v>
      </c>
      <c r="G67" s="1">
        <v>364610994</v>
      </c>
      <c r="H67">
        <v>2.4E-2</v>
      </c>
      <c r="I67">
        <v>17.170000000000002</v>
      </c>
      <c r="J67" s="3">
        <v>1.67</v>
      </c>
      <c r="M67" t="str">
        <f t="shared" ref="M67:M130" si="4">IF(H67&gt;0.03,"High Growth","Low Growth")</f>
        <v>Low Growth</v>
      </c>
      <c r="N67" s="2">
        <f t="shared" ref="N67:N130" si="5">SUMIF(C:C, C67, G:G)</f>
        <v>56325491359</v>
      </c>
      <c r="O67" s="12">
        <f t="shared" si="3"/>
        <v>43252</v>
      </c>
    </row>
    <row r="68" spans="1:15" x14ac:dyDescent="0.3">
      <c r="A68">
        <v>2018</v>
      </c>
      <c r="B68">
        <v>6</v>
      </c>
      <c r="C68" t="s">
        <v>10</v>
      </c>
      <c r="D68" t="s">
        <v>13</v>
      </c>
      <c r="E68">
        <v>3766</v>
      </c>
      <c r="F68" s="2">
        <v>56708</v>
      </c>
      <c r="G68" s="1">
        <v>213562328</v>
      </c>
      <c r="H68">
        <v>1.9E-2</v>
      </c>
      <c r="I68">
        <v>17.170000000000002</v>
      </c>
      <c r="J68" s="3">
        <v>1.67</v>
      </c>
      <c r="M68" t="str">
        <f t="shared" si="4"/>
        <v>Low Growth</v>
      </c>
      <c r="N68" s="2">
        <f t="shared" si="5"/>
        <v>56325491359</v>
      </c>
      <c r="O68" s="12">
        <f t="shared" si="3"/>
        <v>43252</v>
      </c>
    </row>
    <row r="69" spans="1:15" x14ac:dyDescent="0.3">
      <c r="A69">
        <v>2018</v>
      </c>
      <c r="B69">
        <v>6</v>
      </c>
      <c r="C69" t="s">
        <v>10</v>
      </c>
      <c r="D69" t="s">
        <v>14</v>
      </c>
      <c r="E69">
        <v>4771</v>
      </c>
      <c r="F69" s="2">
        <v>68944</v>
      </c>
      <c r="G69" s="1">
        <v>328931824</v>
      </c>
      <c r="H69">
        <v>2.5999999999999999E-2</v>
      </c>
      <c r="I69">
        <v>17.170000000000002</v>
      </c>
      <c r="J69" s="3">
        <v>1.67</v>
      </c>
      <c r="M69" t="str">
        <f t="shared" si="4"/>
        <v>Low Growth</v>
      </c>
      <c r="N69" s="2">
        <f t="shared" si="5"/>
        <v>56325491359</v>
      </c>
      <c r="O69" s="12">
        <f t="shared" si="3"/>
        <v>43252</v>
      </c>
    </row>
    <row r="70" spans="1:15" x14ac:dyDescent="0.3">
      <c r="A70">
        <v>2018</v>
      </c>
      <c r="B70">
        <v>6</v>
      </c>
      <c r="C70" t="s">
        <v>10</v>
      </c>
      <c r="D70" t="s">
        <v>15</v>
      </c>
      <c r="E70">
        <v>2759</v>
      </c>
      <c r="F70" s="2">
        <v>90223</v>
      </c>
      <c r="G70" s="1">
        <v>248925257</v>
      </c>
      <c r="H70">
        <v>3.2000000000000001E-2</v>
      </c>
      <c r="I70">
        <v>17.170000000000002</v>
      </c>
      <c r="J70" s="3">
        <v>1.67</v>
      </c>
      <c r="M70" t="str">
        <f t="shared" si="4"/>
        <v>High Growth</v>
      </c>
      <c r="N70" s="2">
        <f t="shared" si="5"/>
        <v>56325491359</v>
      </c>
      <c r="O70" s="12">
        <f t="shared" si="3"/>
        <v>43252</v>
      </c>
    </row>
    <row r="71" spans="1:15" x14ac:dyDescent="0.3">
      <c r="A71">
        <v>2018</v>
      </c>
      <c r="B71">
        <v>6</v>
      </c>
      <c r="C71" t="s">
        <v>10</v>
      </c>
      <c r="D71" t="s">
        <v>16</v>
      </c>
      <c r="E71">
        <v>10943</v>
      </c>
      <c r="F71" s="2">
        <v>63062</v>
      </c>
      <c r="G71" s="1">
        <v>690087466</v>
      </c>
      <c r="H71">
        <v>1.4999999999999999E-2</v>
      </c>
      <c r="I71">
        <v>17.170000000000002</v>
      </c>
      <c r="J71" s="3">
        <v>1.67</v>
      </c>
      <c r="M71" t="str">
        <f t="shared" si="4"/>
        <v>Low Growth</v>
      </c>
      <c r="N71" s="2">
        <f t="shared" si="5"/>
        <v>56325491359</v>
      </c>
      <c r="O71" s="12">
        <f t="shared" si="3"/>
        <v>43252</v>
      </c>
    </row>
    <row r="72" spans="1:15" x14ac:dyDescent="0.3">
      <c r="A72">
        <v>2018</v>
      </c>
      <c r="B72">
        <v>6</v>
      </c>
      <c r="C72" t="s">
        <v>10</v>
      </c>
      <c r="D72" t="s">
        <v>17</v>
      </c>
      <c r="E72">
        <v>7067</v>
      </c>
      <c r="F72" s="2">
        <v>74633</v>
      </c>
      <c r="G72" s="1">
        <v>527431411</v>
      </c>
      <c r="H72">
        <v>2.3E-2</v>
      </c>
      <c r="I72">
        <v>17.170000000000002</v>
      </c>
      <c r="J72" s="3">
        <v>1.67</v>
      </c>
      <c r="M72" t="str">
        <f t="shared" si="4"/>
        <v>Low Growth</v>
      </c>
      <c r="N72" s="2">
        <f t="shared" si="5"/>
        <v>56325491359</v>
      </c>
      <c r="O72" s="12">
        <f t="shared" si="3"/>
        <v>43252</v>
      </c>
    </row>
    <row r="73" spans="1:15" x14ac:dyDescent="0.3">
      <c r="A73">
        <v>2018</v>
      </c>
      <c r="B73">
        <v>6</v>
      </c>
      <c r="C73" t="s">
        <v>10</v>
      </c>
      <c r="D73" t="s">
        <v>18</v>
      </c>
      <c r="E73">
        <v>10742</v>
      </c>
      <c r="F73" s="2">
        <v>40510</v>
      </c>
      <c r="G73" s="1">
        <v>435158420</v>
      </c>
      <c r="H73">
        <v>3.2000000000000001E-2</v>
      </c>
      <c r="I73">
        <v>17.170000000000002</v>
      </c>
      <c r="J73" s="3">
        <v>1.67</v>
      </c>
      <c r="M73" t="str">
        <f t="shared" si="4"/>
        <v>High Growth</v>
      </c>
      <c r="N73" s="2">
        <f t="shared" si="5"/>
        <v>56325491359</v>
      </c>
      <c r="O73" s="12">
        <f t="shared" si="3"/>
        <v>43252</v>
      </c>
    </row>
    <row r="74" spans="1:15" x14ac:dyDescent="0.3">
      <c r="A74">
        <v>2018</v>
      </c>
      <c r="B74">
        <v>6</v>
      </c>
      <c r="C74" t="s">
        <v>19</v>
      </c>
      <c r="D74" t="s">
        <v>11</v>
      </c>
      <c r="E74">
        <v>4950</v>
      </c>
      <c r="F74" s="2">
        <v>48818</v>
      </c>
      <c r="G74" s="1">
        <v>241649100</v>
      </c>
      <c r="H74">
        <v>3.5999999999999997E-2</v>
      </c>
      <c r="I74">
        <v>20.05</v>
      </c>
      <c r="J74" s="3">
        <v>2.89</v>
      </c>
      <c r="M74" t="str">
        <f t="shared" si="4"/>
        <v>High Growth</v>
      </c>
      <c r="N74" s="2">
        <f t="shared" si="5"/>
        <v>58905926051</v>
      </c>
      <c r="O74" s="12">
        <f t="shared" si="3"/>
        <v>43252</v>
      </c>
    </row>
    <row r="75" spans="1:15" x14ac:dyDescent="0.3">
      <c r="A75">
        <v>2018</v>
      </c>
      <c r="B75">
        <v>6</v>
      </c>
      <c r="C75" t="s">
        <v>19</v>
      </c>
      <c r="D75" t="s">
        <v>12</v>
      </c>
      <c r="E75">
        <v>4356</v>
      </c>
      <c r="F75" s="2">
        <v>63094</v>
      </c>
      <c r="G75" s="1">
        <v>274837464</v>
      </c>
      <c r="H75">
        <v>2.1999999999999999E-2</v>
      </c>
      <c r="I75">
        <v>20.05</v>
      </c>
      <c r="J75" s="3">
        <v>2.89</v>
      </c>
      <c r="M75" t="str">
        <f t="shared" si="4"/>
        <v>Low Growth</v>
      </c>
      <c r="N75" s="2">
        <f t="shared" si="5"/>
        <v>58905926051</v>
      </c>
      <c r="O75" s="12">
        <f t="shared" si="3"/>
        <v>43252</v>
      </c>
    </row>
    <row r="76" spans="1:15" x14ac:dyDescent="0.3">
      <c r="A76">
        <v>2018</v>
      </c>
      <c r="B76">
        <v>6</v>
      </c>
      <c r="C76" t="s">
        <v>19</v>
      </c>
      <c r="D76" t="s">
        <v>13</v>
      </c>
      <c r="E76">
        <v>10604</v>
      </c>
      <c r="F76" s="2">
        <v>56082</v>
      </c>
      <c r="G76" s="1">
        <v>594693528</v>
      </c>
      <c r="H76">
        <v>2.9000000000000001E-2</v>
      </c>
      <c r="I76">
        <v>20.05</v>
      </c>
      <c r="J76" s="3">
        <v>2.89</v>
      </c>
      <c r="M76" t="str">
        <f t="shared" si="4"/>
        <v>Low Growth</v>
      </c>
      <c r="N76" s="2">
        <f t="shared" si="5"/>
        <v>58905926051</v>
      </c>
      <c r="O76" s="12">
        <f t="shared" si="3"/>
        <v>43252</v>
      </c>
    </row>
    <row r="77" spans="1:15" x14ac:dyDescent="0.3">
      <c r="A77">
        <v>2018</v>
      </c>
      <c r="B77">
        <v>6</v>
      </c>
      <c r="C77" t="s">
        <v>19</v>
      </c>
      <c r="D77" t="s">
        <v>14</v>
      </c>
      <c r="E77">
        <v>10719</v>
      </c>
      <c r="F77" s="2">
        <v>69504</v>
      </c>
      <c r="G77" s="1">
        <v>745013376</v>
      </c>
      <c r="H77">
        <v>2.8000000000000001E-2</v>
      </c>
      <c r="I77">
        <v>20.05</v>
      </c>
      <c r="J77" s="3">
        <v>2.89</v>
      </c>
      <c r="M77" t="str">
        <f t="shared" si="4"/>
        <v>Low Growth</v>
      </c>
      <c r="N77" s="2">
        <f t="shared" si="5"/>
        <v>58905926051</v>
      </c>
      <c r="O77" s="12">
        <f t="shared" si="3"/>
        <v>43252</v>
      </c>
    </row>
    <row r="78" spans="1:15" x14ac:dyDescent="0.3">
      <c r="A78">
        <v>2018</v>
      </c>
      <c r="B78">
        <v>6</v>
      </c>
      <c r="C78" t="s">
        <v>19</v>
      </c>
      <c r="D78" t="s">
        <v>15</v>
      </c>
      <c r="E78">
        <v>9346</v>
      </c>
      <c r="F78" s="2">
        <v>93843</v>
      </c>
      <c r="G78" s="1">
        <v>877056678</v>
      </c>
      <c r="H78">
        <v>1.2E-2</v>
      </c>
      <c r="I78">
        <v>20.05</v>
      </c>
      <c r="J78" s="3">
        <v>2.89</v>
      </c>
      <c r="M78" t="str">
        <f t="shared" si="4"/>
        <v>Low Growth</v>
      </c>
      <c r="N78" s="2">
        <f t="shared" si="5"/>
        <v>58905926051</v>
      </c>
      <c r="O78" s="12">
        <f t="shared" si="3"/>
        <v>43252</v>
      </c>
    </row>
    <row r="79" spans="1:15" x14ac:dyDescent="0.3">
      <c r="A79">
        <v>2018</v>
      </c>
      <c r="B79">
        <v>6</v>
      </c>
      <c r="C79" t="s">
        <v>19</v>
      </c>
      <c r="D79" t="s">
        <v>16</v>
      </c>
      <c r="E79">
        <v>8871</v>
      </c>
      <c r="F79" s="2">
        <v>63448</v>
      </c>
      <c r="G79" s="1">
        <v>562847208</v>
      </c>
      <c r="H79">
        <v>1.0999999999999999E-2</v>
      </c>
      <c r="I79">
        <v>20.05</v>
      </c>
      <c r="J79" s="3">
        <v>2.89</v>
      </c>
      <c r="M79" t="str">
        <f t="shared" si="4"/>
        <v>Low Growth</v>
      </c>
      <c r="N79" s="2">
        <f t="shared" si="5"/>
        <v>58905926051</v>
      </c>
      <c r="O79" s="12">
        <f t="shared" si="3"/>
        <v>43252</v>
      </c>
    </row>
    <row r="80" spans="1:15" x14ac:dyDescent="0.3">
      <c r="A80">
        <v>2018</v>
      </c>
      <c r="B80">
        <v>6</v>
      </c>
      <c r="C80" t="s">
        <v>19</v>
      </c>
      <c r="D80" t="s">
        <v>17</v>
      </c>
      <c r="E80">
        <v>8223</v>
      </c>
      <c r="F80" s="2">
        <v>73770</v>
      </c>
      <c r="G80" s="1">
        <v>606610710</v>
      </c>
      <c r="H80">
        <v>-1.4999999999999999E-2</v>
      </c>
      <c r="I80">
        <v>20.05</v>
      </c>
      <c r="J80" s="3">
        <v>2.89</v>
      </c>
      <c r="M80" t="str">
        <f t="shared" si="4"/>
        <v>Low Growth</v>
      </c>
      <c r="N80" s="2">
        <f t="shared" si="5"/>
        <v>58905926051</v>
      </c>
      <c r="O80" s="12">
        <f t="shared" si="3"/>
        <v>43252</v>
      </c>
    </row>
    <row r="81" spans="1:15" x14ac:dyDescent="0.3">
      <c r="A81">
        <v>2018</v>
      </c>
      <c r="B81">
        <v>6</v>
      </c>
      <c r="C81" t="s">
        <v>19</v>
      </c>
      <c r="D81" t="s">
        <v>18</v>
      </c>
      <c r="E81">
        <v>7549</v>
      </c>
      <c r="F81" s="2">
        <v>41984</v>
      </c>
      <c r="G81" s="1">
        <v>316937216</v>
      </c>
      <c r="H81">
        <v>1.7000000000000001E-2</v>
      </c>
      <c r="I81">
        <v>20.05</v>
      </c>
      <c r="J81" s="3">
        <v>2.89</v>
      </c>
      <c r="M81" t="str">
        <f t="shared" si="4"/>
        <v>Low Growth</v>
      </c>
      <c r="N81" s="2">
        <f t="shared" si="5"/>
        <v>58905926051</v>
      </c>
      <c r="O81" s="12">
        <f t="shared" si="3"/>
        <v>43252</v>
      </c>
    </row>
    <row r="82" spans="1:15" x14ac:dyDescent="0.3">
      <c r="A82">
        <v>2018</v>
      </c>
      <c r="B82">
        <v>6</v>
      </c>
      <c r="C82" t="s">
        <v>20</v>
      </c>
      <c r="D82" t="s">
        <v>11</v>
      </c>
      <c r="E82">
        <v>9948</v>
      </c>
      <c r="F82" s="2">
        <v>46577</v>
      </c>
      <c r="G82" s="1">
        <v>463347996</v>
      </c>
      <c r="H82">
        <v>2.5999999999999999E-2</v>
      </c>
      <c r="I82">
        <v>20.14</v>
      </c>
      <c r="J82" s="3">
        <v>5.0599999999999996</v>
      </c>
      <c r="M82" t="str">
        <f t="shared" si="4"/>
        <v>Low Growth</v>
      </c>
      <c r="N82" s="2">
        <f t="shared" si="5"/>
        <v>54599997295</v>
      </c>
      <c r="O82" s="12">
        <f t="shared" si="3"/>
        <v>43252</v>
      </c>
    </row>
    <row r="83" spans="1:15" x14ac:dyDescent="0.3">
      <c r="A83">
        <v>2018</v>
      </c>
      <c r="B83">
        <v>6</v>
      </c>
      <c r="C83" t="s">
        <v>20</v>
      </c>
      <c r="D83" t="s">
        <v>12</v>
      </c>
      <c r="E83">
        <v>7733</v>
      </c>
      <c r="F83" s="2">
        <v>62150</v>
      </c>
      <c r="G83" s="1">
        <v>480605950</v>
      </c>
      <c r="H83">
        <v>3.4000000000000002E-2</v>
      </c>
      <c r="I83">
        <v>20.14</v>
      </c>
      <c r="J83" s="3">
        <v>5.0599999999999996</v>
      </c>
      <c r="M83" t="str">
        <f t="shared" si="4"/>
        <v>High Growth</v>
      </c>
      <c r="N83" s="2">
        <f t="shared" si="5"/>
        <v>54599997295</v>
      </c>
      <c r="O83" s="12">
        <f t="shared" si="3"/>
        <v>43252</v>
      </c>
    </row>
    <row r="84" spans="1:15" x14ac:dyDescent="0.3">
      <c r="A84">
        <v>2018</v>
      </c>
      <c r="B84">
        <v>6</v>
      </c>
      <c r="C84" t="s">
        <v>20</v>
      </c>
      <c r="D84" t="s">
        <v>13</v>
      </c>
      <c r="E84">
        <v>10319</v>
      </c>
      <c r="F84" s="2">
        <v>58845</v>
      </c>
      <c r="G84" s="1">
        <v>607221555</v>
      </c>
      <c r="H84">
        <v>3.1E-2</v>
      </c>
      <c r="I84">
        <v>20.14</v>
      </c>
      <c r="J84" s="3">
        <v>5.0599999999999996</v>
      </c>
      <c r="M84" t="str">
        <f t="shared" si="4"/>
        <v>High Growth</v>
      </c>
      <c r="N84" s="2">
        <f t="shared" si="5"/>
        <v>54599997295</v>
      </c>
      <c r="O84" s="12">
        <f t="shared" si="3"/>
        <v>43252</v>
      </c>
    </row>
    <row r="85" spans="1:15" x14ac:dyDescent="0.3">
      <c r="A85">
        <v>2018</v>
      </c>
      <c r="B85">
        <v>6</v>
      </c>
      <c r="C85" t="s">
        <v>20</v>
      </c>
      <c r="D85" t="s">
        <v>14</v>
      </c>
      <c r="E85">
        <v>10452</v>
      </c>
      <c r="F85" s="2">
        <v>69482</v>
      </c>
      <c r="G85" s="1">
        <v>726225864</v>
      </c>
      <c r="H85">
        <v>2E-3</v>
      </c>
      <c r="I85">
        <v>20.14</v>
      </c>
      <c r="J85" s="3">
        <v>5.0599999999999996</v>
      </c>
      <c r="M85" t="str">
        <f t="shared" si="4"/>
        <v>Low Growth</v>
      </c>
      <c r="N85" s="2">
        <f t="shared" si="5"/>
        <v>54599997295</v>
      </c>
      <c r="O85" s="12">
        <f t="shared" si="3"/>
        <v>43252</v>
      </c>
    </row>
    <row r="86" spans="1:15" x14ac:dyDescent="0.3">
      <c r="A86">
        <v>2018</v>
      </c>
      <c r="B86">
        <v>6</v>
      </c>
      <c r="C86" t="s">
        <v>20</v>
      </c>
      <c r="D86" t="s">
        <v>15</v>
      </c>
      <c r="E86">
        <v>4214</v>
      </c>
      <c r="F86" s="2">
        <v>91358</v>
      </c>
      <c r="G86" s="1">
        <v>384982612</v>
      </c>
      <c r="H86">
        <v>0</v>
      </c>
      <c r="I86">
        <v>20.14</v>
      </c>
      <c r="J86" s="3">
        <v>5.0599999999999996</v>
      </c>
      <c r="M86" t="str">
        <f t="shared" si="4"/>
        <v>Low Growth</v>
      </c>
      <c r="N86" s="2">
        <f t="shared" si="5"/>
        <v>54599997295</v>
      </c>
      <c r="O86" s="12">
        <f t="shared" si="3"/>
        <v>43252</v>
      </c>
    </row>
    <row r="87" spans="1:15" x14ac:dyDescent="0.3">
      <c r="A87">
        <v>2018</v>
      </c>
      <c r="B87">
        <v>6</v>
      </c>
      <c r="C87" t="s">
        <v>20</v>
      </c>
      <c r="D87" t="s">
        <v>16</v>
      </c>
      <c r="E87">
        <v>8376</v>
      </c>
      <c r="F87" s="2">
        <v>63541</v>
      </c>
      <c r="G87" s="1">
        <v>532219416</v>
      </c>
      <c r="H87">
        <v>0.04</v>
      </c>
      <c r="I87">
        <v>20.14</v>
      </c>
      <c r="J87" s="3">
        <v>5.0599999999999996</v>
      </c>
      <c r="M87" t="str">
        <f t="shared" si="4"/>
        <v>High Growth</v>
      </c>
      <c r="N87" s="2">
        <f t="shared" si="5"/>
        <v>54599997295</v>
      </c>
      <c r="O87" s="12">
        <f t="shared" si="3"/>
        <v>43252</v>
      </c>
    </row>
    <row r="88" spans="1:15" x14ac:dyDescent="0.3">
      <c r="A88">
        <v>2018</v>
      </c>
      <c r="B88">
        <v>6</v>
      </c>
      <c r="C88" t="s">
        <v>20</v>
      </c>
      <c r="D88" t="s">
        <v>17</v>
      </c>
      <c r="E88">
        <v>8089</v>
      </c>
      <c r="F88" s="2">
        <v>73796</v>
      </c>
      <c r="G88" s="1">
        <v>596935844</v>
      </c>
      <c r="H88">
        <v>3.9E-2</v>
      </c>
      <c r="I88">
        <v>20.14</v>
      </c>
      <c r="J88" s="3">
        <v>5.0599999999999996</v>
      </c>
      <c r="M88" t="str">
        <f t="shared" si="4"/>
        <v>High Growth</v>
      </c>
      <c r="N88" s="2">
        <f t="shared" si="5"/>
        <v>54599997295</v>
      </c>
      <c r="O88" s="12">
        <f t="shared" si="3"/>
        <v>43252</v>
      </c>
    </row>
    <row r="89" spans="1:15" x14ac:dyDescent="0.3">
      <c r="A89">
        <v>2018</v>
      </c>
      <c r="B89">
        <v>6</v>
      </c>
      <c r="C89" t="s">
        <v>20</v>
      </c>
      <c r="D89" t="s">
        <v>18</v>
      </c>
      <c r="E89">
        <v>10497</v>
      </c>
      <c r="F89" s="2">
        <v>40137</v>
      </c>
      <c r="G89" s="1">
        <v>421318089</v>
      </c>
      <c r="H89">
        <v>2.1999999999999999E-2</v>
      </c>
      <c r="I89">
        <v>20.14</v>
      </c>
      <c r="J89" s="3">
        <v>5.0599999999999996</v>
      </c>
      <c r="M89" t="str">
        <f t="shared" si="4"/>
        <v>Low Growth</v>
      </c>
      <c r="N89" s="2">
        <f t="shared" si="5"/>
        <v>54599997295</v>
      </c>
      <c r="O89" s="12">
        <f t="shared" si="3"/>
        <v>43252</v>
      </c>
    </row>
    <row r="90" spans="1:15" x14ac:dyDescent="0.3">
      <c r="A90">
        <v>2018</v>
      </c>
      <c r="B90">
        <v>6</v>
      </c>
      <c r="C90" t="s">
        <v>21</v>
      </c>
      <c r="D90" t="s">
        <v>11</v>
      </c>
      <c r="E90">
        <v>7330</v>
      </c>
      <c r="F90" s="2">
        <v>46204</v>
      </c>
      <c r="G90" s="1">
        <v>338675320</v>
      </c>
      <c r="H90">
        <v>0.02</v>
      </c>
      <c r="I90">
        <v>5.52</v>
      </c>
      <c r="J90" s="3">
        <v>2.99</v>
      </c>
      <c r="M90" t="str">
        <f t="shared" si="4"/>
        <v>Low Growth</v>
      </c>
      <c r="N90" s="2">
        <f t="shared" si="5"/>
        <v>55528754190</v>
      </c>
      <c r="O90" s="12">
        <f t="shared" si="3"/>
        <v>43252</v>
      </c>
    </row>
    <row r="91" spans="1:15" x14ac:dyDescent="0.3">
      <c r="A91">
        <v>2018</v>
      </c>
      <c r="B91">
        <v>6</v>
      </c>
      <c r="C91" t="s">
        <v>21</v>
      </c>
      <c r="D91" t="s">
        <v>12</v>
      </c>
      <c r="E91">
        <v>9645</v>
      </c>
      <c r="F91" s="2">
        <v>63818</v>
      </c>
      <c r="G91" s="1">
        <v>615524610</v>
      </c>
      <c r="H91">
        <v>2.4E-2</v>
      </c>
      <c r="I91">
        <v>5.52</v>
      </c>
      <c r="J91" s="3">
        <v>2.99</v>
      </c>
      <c r="M91" t="str">
        <f t="shared" si="4"/>
        <v>Low Growth</v>
      </c>
      <c r="N91" s="2">
        <f t="shared" si="5"/>
        <v>55528754190</v>
      </c>
      <c r="O91" s="12">
        <f t="shared" si="3"/>
        <v>43252</v>
      </c>
    </row>
    <row r="92" spans="1:15" x14ac:dyDescent="0.3">
      <c r="A92">
        <v>2018</v>
      </c>
      <c r="B92">
        <v>6</v>
      </c>
      <c r="C92" t="s">
        <v>21</v>
      </c>
      <c r="D92" t="s">
        <v>13</v>
      </c>
      <c r="E92">
        <v>4846</v>
      </c>
      <c r="F92" s="2">
        <v>58895</v>
      </c>
      <c r="G92" s="1">
        <v>285405170</v>
      </c>
      <c r="H92">
        <v>-2E-3</v>
      </c>
      <c r="I92">
        <v>5.52</v>
      </c>
      <c r="J92" s="3">
        <v>2.99</v>
      </c>
      <c r="M92" t="str">
        <f t="shared" si="4"/>
        <v>Low Growth</v>
      </c>
      <c r="N92" s="2">
        <f t="shared" si="5"/>
        <v>55528754190</v>
      </c>
      <c r="O92" s="12">
        <f t="shared" si="3"/>
        <v>43252</v>
      </c>
    </row>
    <row r="93" spans="1:15" x14ac:dyDescent="0.3">
      <c r="A93">
        <v>2018</v>
      </c>
      <c r="B93">
        <v>6</v>
      </c>
      <c r="C93" t="s">
        <v>21</v>
      </c>
      <c r="D93" t="s">
        <v>14</v>
      </c>
      <c r="E93">
        <v>9611</v>
      </c>
      <c r="F93" s="2">
        <v>68994</v>
      </c>
      <c r="G93" s="1">
        <v>663101334</v>
      </c>
      <c r="H93">
        <v>0.04</v>
      </c>
      <c r="I93">
        <v>5.52</v>
      </c>
      <c r="J93" s="3">
        <v>2.99</v>
      </c>
      <c r="M93" t="str">
        <f t="shared" si="4"/>
        <v>High Growth</v>
      </c>
      <c r="N93" s="2">
        <f t="shared" si="5"/>
        <v>55528754190</v>
      </c>
      <c r="O93" s="12">
        <f t="shared" si="3"/>
        <v>43252</v>
      </c>
    </row>
    <row r="94" spans="1:15" x14ac:dyDescent="0.3">
      <c r="A94">
        <v>2018</v>
      </c>
      <c r="B94">
        <v>6</v>
      </c>
      <c r="C94" t="s">
        <v>21</v>
      </c>
      <c r="D94" t="s">
        <v>15</v>
      </c>
      <c r="E94">
        <v>9384</v>
      </c>
      <c r="F94" s="2">
        <v>91719</v>
      </c>
      <c r="G94" s="1">
        <v>860691096</v>
      </c>
      <c r="H94">
        <v>8.9999999999999993E-3</v>
      </c>
      <c r="I94">
        <v>5.52</v>
      </c>
      <c r="J94" s="3">
        <v>2.99</v>
      </c>
      <c r="M94" t="str">
        <f t="shared" si="4"/>
        <v>Low Growth</v>
      </c>
      <c r="N94" s="2">
        <f t="shared" si="5"/>
        <v>55528754190</v>
      </c>
      <c r="O94" s="12">
        <f t="shared" si="3"/>
        <v>43252</v>
      </c>
    </row>
    <row r="95" spans="1:15" x14ac:dyDescent="0.3">
      <c r="A95">
        <v>2018</v>
      </c>
      <c r="B95">
        <v>6</v>
      </c>
      <c r="C95" t="s">
        <v>21</v>
      </c>
      <c r="D95" t="s">
        <v>16</v>
      </c>
      <c r="E95">
        <v>12069</v>
      </c>
      <c r="F95" s="2">
        <v>66266</v>
      </c>
      <c r="G95" s="1">
        <v>799764354</v>
      </c>
      <c r="H95">
        <v>2.5000000000000001E-2</v>
      </c>
      <c r="I95">
        <v>5.52</v>
      </c>
      <c r="J95" s="3">
        <v>2.99</v>
      </c>
      <c r="M95" t="str">
        <f t="shared" si="4"/>
        <v>Low Growth</v>
      </c>
      <c r="N95" s="2">
        <f t="shared" si="5"/>
        <v>55528754190</v>
      </c>
      <c r="O95" s="12">
        <f t="shared" si="3"/>
        <v>43252</v>
      </c>
    </row>
    <row r="96" spans="1:15" x14ac:dyDescent="0.3">
      <c r="A96">
        <v>2018</v>
      </c>
      <c r="B96">
        <v>6</v>
      </c>
      <c r="C96" t="s">
        <v>21</v>
      </c>
      <c r="D96" t="s">
        <v>17</v>
      </c>
      <c r="E96">
        <v>4825</v>
      </c>
      <c r="F96" s="2">
        <v>74969</v>
      </c>
      <c r="G96" s="1">
        <v>361725425</v>
      </c>
      <c r="H96">
        <v>4.1000000000000002E-2</v>
      </c>
      <c r="I96">
        <v>5.52</v>
      </c>
      <c r="J96" s="3">
        <v>2.99</v>
      </c>
      <c r="M96" t="str">
        <f t="shared" si="4"/>
        <v>High Growth</v>
      </c>
      <c r="N96" s="2">
        <f t="shared" si="5"/>
        <v>55528754190</v>
      </c>
      <c r="O96" s="12">
        <f t="shared" si="3"/>
        <v>43252</v>
      </c>
    </row>
    <row r="97" spans="1:15" x14ac:dyDescent="0.3">
      <c r="A97">
        <v>2018</v>
      </c>
      <c r="B97">
        <v>6</v>
      </c>
      <c r="C97" t="s">
        <v>21</v>
      </c>
      <c r="D97" t="s">
        <v>18</v>
      </c>
      <c r="E97">
        <v>10204</v>
      </c>
      <c r="F97" s="2">
        <v>43122</v>
      </c>
      <c r="G97" s="1">
        <v>440016888</v>
      </c>
      <c r="H97">
        <v>1.7000000000000001E-2</v>
      </c>
      <c r="I97">
        <v>5.52</v>
      </c>
      <c r="J97" s="3">
        <v>2.99</v>
      </c>
      <c r="M97" t="str">
        <f t="shared" si="4"/>
        <v>Low Growth</v>
      </c>
      <c r="N97" s="2">
        <f t="shared" si="5"/>
        <v>55528754190</v>
      </c>
      <c r="O97" s="12">
        <f t="shared" si="3"/>
        <v>43252</v>
      </c>
    </row>
    <row r="98" spans="1:15" x14ac:dyDescent="0.3">
      <c r="A98">
        <v>2018</v>
      </c>
      <c r="B98">
        <v>7</v>
      </c>
      <c r="C98" t="s">
        <v>10</v>
      </c>
      <c r="D98" t="s">
        <v>11</v>
      </c>
      <c r="E98">
        <v>8432</v>
      </c>
      <c r="F98" s="2">
        <v>47968</v>
      </c>
      <c r="G98" s="1">
        <v>404466176</v>
      </c>
      <c r="H98">
        <v>2.8000000000000001E-2</v>
      </c>
      <c r="I98">
        <v>14.62</v>
      </c>
      <c r="J98" s="3">
        <v>2.1800000000000002</v>
      </c>
      <c r="M98" t="str">
        <f t="shared" si="4"/>
        <v>Low Growth</v>
      </c>
      <c r="N98" s="2">
        <f t="shared" si="5"/>
        <v>56325491359</v>
      </c>
      <c r="O98" s="12">
        <f t="shared" si="3"/>
        <v>43282</v>
      </c>
    </row>
    <row r="99" spans="1:15" x14ac:dyDescent="0.3">
      <c r="A99">
        <v>2018</v>
      </c>
      <c r="B99">
        <v>7</v>
      </c>
      <c r="C99" t="s">
        <v>10</v>
      </c>
      <c r="D99" t="s">
        <v>12</v>
      </c>
      <c r="E99">
        <v>9253</v>
      </c>
      <c r="F99" s="2">
        <v>62841</v>
      </c>
      <c r="G99" s="1">
        <v>581467773</v>
      </c>
      <c r="H99">
        <v>1.7000000000000001E-2</v>
      </c>
      <c r="I99">
        <v>14.62</v>
      </c>
      <c r="J99" s="3">
        <v>2.1800000000000002</v>
      </c>
      <c r="M99" t="str">
        <f t="shared" si="4"/>
        <v>Low Growth</v>
      </c>
      <c r="N99" s="2">
        <f t="shared" si="5"/>
        <v>56325491359</v>
      </c>
      <c r="O99" s="12">
        <f t="shared" si="3"/>
        <v>43282</v>
      </c>
    </row>
    <row r="100" spans="1:15" x14ac:dyDescent="0.3">
      <c r="A100">
        <v>2018</v>
      </c>
      <c r="B100">
        <v>7</v>
      </c>
      <c r="C100" t="s">
        <v>10</v>
      </c>
      <c r="D100" t="s">
        <v>13</v>
      </c>
      <c r="E100">
        <v>8255</v>
      </c>
      <c r="F100" s="2">
        <v>58397</v>
      </c>
      <c r="G100" s="1">
        <v>482067235</v>
      </c>
      <c r="H100">
        <v>1.2999999999999999E-2</v>
      </c>
      <c r="I100">
        <v>14.62</v>
      </c>
      <c r="J100" s="3">
        <v>2.1800000000000002</v>
      </c>
      <c r="M100" t="str">
        <f t="shared" si="4"/>
        <v>Low Growth</v>
      </c>
      <c r="N100" s="2">
        <f t="shared" si="5"/>
        <v>56325491359</v>
      </c>
      <c r="O100" s="12">
        <f t="shared" si="3"/>
        <v>43282</v>
      </c>
    </row>
    <row r="101" spans="1:15" x14ac:dyDescent="0.3">
      <c r="A101">
        <v>2018</v>
      </c>
      <c r="B101">
        <v>7</v>
      </c>
      <c r="C101" t="s">
        <v>10</v>
      </c>
      <c r="D101" t="s">
        <v>14</v>
      </c>
      <c r="E101">
        <v>5109</v>
      </c>
      <c r="F101" s="2">
        <v>67047</v>
      </c>
      <c r="G101" s="1">
        <v>342543123</v>
      </c>
      <c r="H101">
        <v>2.1999999999999999E-2</v>
      </c>
      <c r="I101">
        <v>14.62</v>
      </c>
      <c r="J101" s="3">
        <v>2.1800000000000002</v>
      </c>
      <c r="M101" t="str">
        <f t="shared" si="4"/>
        <v>Low Growth</v>
      </c>
      <c r="N101" s="2">
        <f t="shared" si="5"/>
        <v>56325491359</v>
      </c>
      <c r="O101" s="12">
        <f t="shared" si="3"/>
        <v>43282</v>
      </c>
    </row>
    <row r="102" spans="1:15" x14ac:dyDescent="0.3">
      <c r="A102">
        <v>2018</v>
      </c>
      <c r="B102">
        <v>7</v>
      </c>
      <c r="C102" t="s">
        <v>10</v>
      </c>
      <c r="D102" t="s">
        <v>15</v>
      </c>
      <c r="E102">
        <v>5836</v>
      </c>
      <c r="F102" s="2">
        <v>91715</v>
      </c>
      <c r="G102" s="1">
        <v>535248740</v>
      </c>
      <c r="H102">
        <v>2.1999999999999999E-2</v>
      </c>
      <c r="I102">
        <v>14.62</v>
      </c>
      <c r="J102" s="3">
        <v>2.1800000000000002</v>
      </c>
      <c r="M102" t="str">
        <f t="shared" si="4"/>
        <v>Low Growth</v>
      </c>
      <c r="N102" s="2">
        <f t="shared" si="5"/>
        <v>56325491359</v>
      </c>
      <c r="O102" s="12">
        <f t="shared" si="3"/>
        <v>43282</v>
      </c>
    </row>
    <row r="103" spans="1:15" x14ac:dyDescent="0.3">
      <c r="A103">
        <v>2018</v>
      </c>
      <c r="B103">
        <v>7</v>
      </c>
      <c r="C103" t="s">
        <v>10</v>
      </c>
      <c r="D103" t="s">
        <v>16</v>
      </c>
      <c r="E103">
        <v>2661</v>
      </c>
      <c r="F103" s="2">
        <v>63638</v>
      </c>
      <c r="G103" s="1">
        <v>169340718</v>
      </c>
      <c r="H103">
        <v>1.2E-2</v>
      </c>
      <c r="I103">
        <v>14.62</v>
      </c>
      <c r="J103" s="3">
        <v>2.1800000000000002</v>
      </c>
      <c r="M103" t="str">
        <f t="shared" si="4"/>
        <v>Low Growth</v>
      </c>
      <c r="N103" s="2">
        <f t="shared" si="5"/>
        <v>56325491359</v>
      </c>
      <c r="O103" s="12">
        <f t="shared" si="3"/>
        <v>43282</v>
      </c>
    </row>
    <row r="104" spans="1:15" x14ac:dyDescent="0.3">
      <c r="A104">
        <v>2018</v>
      </c>
      <c r="B104">
        <v>7</v>
      </c>
      <c r="C104" t="s">
        <v>10</v>
      </c>
      <c r="D104" t="s">
        <v>17</v>
      </c>
      <c r="E104">
        <v>2427</v>
      </c>
      <c r="F104" s="2">
        <v>75125</v>
      </c>
      <c r="G104" s="1">
        <v>182328375</v>
      </c>
      <c r="H104">
        <v>4.3999999999999997E-2</v>
      </c>
      <c r="I104">
        <v>14.62</v>
      </c>
      <c r="J104" s="3">
        <v>2.1800000000000002</v>
      </c>
      <c r="M104" t="str">
        <f t="shared" si="4"/>
        <v>High Growth</v>
      </c>
      <c r="N104" s="2">
        <f t="shared" si="5"/>
        <v>56325491359</v>
      </c>
      <c r="O104" s="12">
        <f t="shared" si="3"/>
        <v>43282</v>
      </c>
    </row>
    <row r="105" spans="1:15" x14ac:dyDescent="0.3">
      <c r="A105">
        <v>2018</v>
      </c>
      <c r="B105">
        <v>7</v>
      </c>
      <c r="C105" t="s">
        <v>10</v>
      </c>
      <c r="D105" t="s">
        <v>18</v>
      </c>
      <c r="E105">
        <v>2720</v>
      </c>
      <c r="F105" s="2">
        <v>42713</v>
      </c>
      <c r="G105" s="1">
        <v>116179360</v>
      </c>
      <c r="H105">
        <v>1.7000000000000001E-2</v>
      </c>
      <c r="I105">
        <v>14.62</v>
      </c>
      <c r="J105" s="3">
        <v>2.1800000000000002</v>
      </c>
      <c r="M105" t="str">
        <f t="shared" si="4"/>
        <v>Low Growth</v>
      </c>
      <c r="N105" s="2">
        <f t="shared" si="5"/>
        <v>56325491359</v>
      </c>
      <c r="O105" s="12">
        <f t="shared" si="3"/>
        <v>43282</v>
      </c>
    </row>
    <row r="106" spans="1:15" x14ac:dyDescent="0.3">
      <c r="A106">
        <v>2018</v>
      </c>
      <c r="B106">
        <v>7</v>
      </c>
      <c r="C106" t="s">
        <v>19</v>
      </c>
      <c r="D106" t="s">
        <v>11</v>
      </c>
      <c r="E106">
        <v>7951</v>
      </c>
      <c r="F106" s="2">
        <v>47215</v>
      </c>
      <c r="G106" s="1">
        <v>375406465</v>
      </c>
      <c r="H106">
        <v>8.0000000000000002E-3</v>
      </c>
      <c r="I106">
        <v>17.579999999999998</v>
      </c>
      <c r="J106" s="3">
        <v>3.58</v>
      </c>
      <c r="M106" t="str">
        <f t="shared" si="4"/>
        <v>Low Growth</v>
      </c>
      <c r="N106" s="2">
        <f t="shared" si="5"/>
        <v>58905926051</v>
      </c>
      <c r="O106" s="12">
        <f t="shared" si="3"/>
        <v>43282</v>
      </c>
    </row>
    <row r="107" spans="1:15" x14ac:dyDescent="0.3">
      <c r="A107">
        <v>2018</v>
      </c>
      <c r="B107">
        <v>7</v>
      </c>
      <c r="C107" t="s">
        <v>19</v>
      </c>
      <c r="D107" t="s">
        <v>12</v>
      </c>
      <c r="E107">
        <v>10119</v>
      </c>
      <c r="F107" s="2">
        <v>61654</v>
      </c>
      <c r="G107" s="1">
        <v>623876826</v>
      </c>
      <c r="H107">
        <v>3.0000000000000001E-3</v>
      </c>
      <c r="I107">
        <v>17.579999999999998</v>
      </c>
      <c r="J107" s="3">
        <v>3.58</v>
      </c>
      <c r="M107" t="str">
        <f t="shared" si="4"/>
        <v>Low Growth</v>
      </c>
      <c r="N107" s="2">
        <f t="shared" si="5"/>
        <v>58905926051</v>
      </c>
      <c r="O107" s="12">
        <f t="shared" si="3"/>
        <v>43282</v>
      </c>
    </row>
    <row r="108" spans="1:15" x14ac:dyDescent="0.3">
      <c r="A108">
        <v>2018</v>
      </c>
      <c r="B108">
        <v>7</v>
      </c>
      <c r="C108" t="s">
        <v>19</v>
      </c>
      <c r="D108" t="s">
        <v>13</v>
      </c>
      <c r="E108">
        <v>10834</v>
      </c>
      <c r="F108" s="2">
        <v>58133</v>
      </c>
      <c r="G108" s="1">
        <v>629812922</v>
      </c>
      <c r="H108">
        <v>3.2000000000000001E-2</v>
      </c>
      <c r="I108">
        <v>17.579999999999998</v>
      </c>
      <c r="J108" s="3">
        <v>3.58</v>
      </c>
      <c r="M108" t="str">
        <f t="shared" si="4"/>
        <v>High Growth</v>
      </c>
      <c r="N108" s="2">
        <f t="shared" si="5"/>
        <v>58905926051</v>
      </c>
      <c r="O108" s="12">
        <f t="shared" si="3"/>
        <v>43282</v>
      </c>
    </row>
    <row r="109" spans="1:15" x14ac:dyDescent="0.3">
      <c r="A109">
        <v>2018</v>
      </c>
      <c r="B109">
        <v>7</v>
      </c>
      <c r="C109" t="s">
        <v>19</v>
      </c>
      <c r="D109" t="s">
        <v>14</v>
      </c>
      <c r="E109">
        <v>9633</v>
      </c>
      <c r="F109" s="2">
        <v>67125</v>
      </c>
      <c r="G109" s="1">
        <v>646615125</v>
      </c>
      <c r="H109">
        <v>2.1999999999999999E-2</v>
      </c>
      <c r="I109">
        <v>17.579999999999998</v>
      </c>
      <c r="J109" s="3">
        <v>3.58</v>
      </c>
      <c r="M109" t="str">
        <f t="shared" si="4"/>
        <v>Low Growth</v>
      </c>
      <c r="N109" s="2">
        <f t="shared" si="5"/>
        <v>58905926051</v>
      </c>
      <c r="O109" s="12">
        <f t="shared" si="3"/>
        <v>43282</v>
      </c>
    </row>
    <row r="110" spans="1:15" x14ac:dyDescent="0.3">
      <c r="A110">
        <v>2018</v>
      </c>
      <c r="B110">
        <v>7</v>
      </c>
      <c r="C110" t="s">
        <v>19</v>
      </c>
      <c r="D110" t="s">
        <v>15</v>
      </c>
      <c r="E110">
        <v>6775</v>
      </c>
      <c r="F110" s="2">
        <v>91603</v>
      </c>
      <c r="G110" s="1">
        <v>620610325</v>
      </c>
      <c r="H110">
        <v>2.1999999999999999E-2</v>
      </c>
      <c r="I110">
        <v>17.579999999999998</v>
      </c>
      <c r="J110" s="3">
        <v>3.58</v>
      </c>
      <c r="M110" t="str">
        <f t="shared" si="4"/>
        <v>Low Growth</v>
      </c>
      <c r="N110" s="2">
        <f t="shared" si="5"/>
        <v>58905926051</v>
      </c>
      <c r="O110" s="12">
        <f t="shared" si="3"/>
        <v>43282</v>
      </c>
    </row>
    <row r="111" spans="1:15" x14ac:dyDescent="0.3">
      <c r="A111">
        <v>2018</v>
      </c>
      <c r="B111">
        <v>7</v>
      </c>
      <c r="C111" t="s">
        <v>19</v>
      </c>
      <c r="D111" t="s">
        <v>16</v>
      </c>
      <c r="E111">
        <v>9557</v>
      </c>
      <c r="F111" s="2">
        <v>63066</v>
      </c>
      <c r="G111" s="1">
        <v>602721762</v>
      </c>
      <c r="H111">
        <v>2.9000000000000001E-2</v>
      </c>
      <c r="I111">
        <v>17.579999999999998</v>
      </c>
      <c r="J111" s="3">
        <v>3.58</v>
      </c>
      <c r="M111" t="str">
        <f t="shared" si="4"/>
        <v>Low Growth</v>
      </c>
      <c r="N111" s="2">
        <f t="shared" si="5"/>
        <v>58905926051</v>
      </c>
      <c r="O111" s="12">
        <f t="shared" si="3"/>
        <v>43282</v>
      </c>
    </row>
    <row r="112" spans="1:15" x14ac:dyDescent="0.3">
      <c r="A112">
        <v>2018</v>
      </c>
      <c r="B112">
        <v>7</v>
      </c>
      <c r="C112" t="s">
        <v>19</v>
      </c>
      <c r="D112" t="s">
        <v>17</v>
      </c>
      <c r="E112">
        <v>2595</v>
      </c>
      <c r="F112" s="2">
        <v>73110</v>
      </c>
      <c r="G112" s="1">
        <v>189720450</v>
      </c>
      <c r="H112">
        <v>1.0999999999999999E-2</v>
      </c>
      <c r="I112">
        <v>17.579999999999998</v>
      </c>
      <c r="J112" s="3">
        <v>3.58</v>
      </c>
      <c r="M112" t="str">
        <f t="shared" si="4"/>
        <v>Low Growth</v>
      </c>
      <c r="N112" s="2">
        <f t="shared" si="5"/>
        <v>58905926051</v>
      </c>
      <c r="O112" s="12">
        <f t="shared" si="3"/>
        <v>43282</v>
      </c>
    </row>
    <row r="113" spans="1:15" x14ac:dyDescent="0.3">
      <c r="A113">
        <v>2018</v>
      </c>
      <c r="B113">
        <v>7</v>
      </c>
      <c r="C113" t="s">
        <v>19</v>
      </c>
      <c r="D113" t="s">
        <v>18</v>
      </c>
      <c r="E113">
        <v>9920</v>
      </c>
      <c r="F113" s="2">
        <v>43440</v>
      </c>
      <c r="G113" s="1">
        <v>430924800</v>
      </c>
      <c r="H113">
        <v>0.02</v>
      </c>
      <c r="I113">
        <v>17.579999999999998</v>
      </c>
      <c r="J113" s="3">
        <v>3.58</v>
      </c>
      <c r="M113" t="str">
        <f t="shared" si="4"/>
        <v>Low Growth</v>
      </c>
      <c r="N113" s="2">
        <f t="shared" si="5"/>
        <v>58905926051</v>
      </c>
      <c r="O113" s="12">
        <f t="shared" si="3"/>
        <v>43282</v>
      </c>
    </row>
    <row r="114" spans="1:15" x14ac:dyDescent="0.3">
      <c r="A114">
        <v>2018</v>
      </c>
      <c r="B114">
        <v>7</v>
      </c>
      <c r="C114" t="s">
        <v>20</v>
      </c>
      <c r="D114" t="s">
        <v>11</v>
      </c>
      <c r="E114">
        <v>4977</v>
      </c>
      <c r="F114" s="2">
        <v>47975</v>
      </c>
      <c r="G114" s="1">
        <v>238771575</v>
      </c>
      <c r="H114">
        <v>2.9000000000000001E-2</v>
      </c>
      <c r="I114">
        <v>16.36</v>
      </c>
      <c r="J114" s="3">
        <v>0.99</v>
      </c>
      <c r="M114" t="str">
        <f t="shared" si="4"/>
        <v>Low Growth</v>
      </c>
      <c r="N114" s="2">
        <f t="shared" si="5"/>
        <v>54599997295</v>
      </c>
      <c r="O114" s="12">
        <f t="shared" si="3"/>
        <v>43282</v>
      </c>
    </row>
    <row r="115" spans="1:15" x14ac:dyDescent="0.3">
      <c r="A115">
        <v>2018</v>
      </c>
      <c r="B115">
        <v>7</v>
      </c>
      <c r="C115" t="s">
        <v>20</v>
      </c>
      <c r="D115" t="s">
        <v>12</v>
      </c>
      <c r="E115">
        <v>3207</v>
      </c>
      <c r="F115" s="2">
        <v>61989</v>
      </c>
      <c r="G115" s="1">
        <v>198798723</v>
      </c>
      <c r="H115">
        <v>3.9E-2</v>
      </c>
      <c r="I115">
        <v>16.36</v>
      </c>
      <c r="J115" s="3">
        <v>0.99</v>
      </c>
      <c r="M115" t="str">
        <f t="shared" si="4"/>
        <v>High Growth</v>
      </c>
      <c r="N115" s="2">
        <f t="shared" si="5"/>
        <v>54599997295</v>
      </c>
      <c r="O115" s="12">
        <f t="shared" si="3"/>
        <v>43282</v>
      </c>
    </row>
    <row r="116" spans="1:15" x14ac:dyDescent="0.3">
      <c r="A116">
        <v>2018</v>
      </c>
      <c r="B116">
        <v>7</v>
      </c>
      <c r="C116" t="s">
        <v>20</v>
      </c>
      <c r="D116" t="s">
        <v>13</v>
      </c>
      <c r="E116">
        <v>5996</v>
      </c>
      <c r="F116" s="2">
        <v>58671</v>
      </c>
      <c r="G116" s="1">
        <v>351791316</v>
      </c>
      <c r="H116">
        <v>1.4E-2</v>
      </c>
      <c r="I116">
        <v>16.36</v>
      </c>
      <c r="J116" s="3">
        <v>0.99</v>
      </c>
      <c r="M116" t="str">
        <f t="shared" si="4"/>
        <v>Low Growth</v>
      </c>
      <c r="N116" s="2">
        <f t="shared" si="5"/>
        <v>54599997295</v>
      </c>
      <c r="O116" s="12">
        <f t="shared" si="3"/>
        <v>43282</v>
      </c>
    </row>
    <row r="117" spans="1:15" x14ac:dyDescent="0.3">
      <c r="A117">
        <v>2018</v>
      </c>
      <c r="B117">
        <v>7</v>
      </c>
      <c r="C117" t="s">
        <v>20</v>
      </c>
      <c r="D117" t="s">
        <v>14</v>
      </c>
      <c r="E117">
        <v>9011</v>
      </c>
      <c r="F117" s="2">
        <v>70517</v>
      </c>
      <c r="G117" s="1">
        <v>635428687</v>
      </c>
      <c r="H117">
        <v>7.0000000000000001E-3</v>
      </c>
      <c r="I117">
        <v>16.36</v>
      </c>
      <c r="J117" s="3">
        <v>0.99</v>
      </c>
      <c r="M117" t="str">
        <f t="shared" si="4"/>
        <v>Low Growth</v>
      </c>
      <c r="N117" s="2">
        <f t="shared" si="5"/>
        <v>54599997295</v>
      </c>
      <c r="O117" s="12">
        <f t="shared" si="3"/>
        <v>43282</v>
      </c>
    </row>
    <row r="118" spans="1:15" x14ac:dyDescent="0.3">
      <c r="A118">
        <v>2018</v>
      </c>
      <c r="B118">
        <v>7</v>
      </c>
      <c r="C118" t="s">
        <v>20</v>
      </c>
      <c r="D118" t="s">
        <v>15</v>
      </c>
      <c r="E118">
        <v>5923</v>
      </c>
      <c r="F118" s="2">
        <v>92595</v>
      </c>
      <c r="G118" s="1">
        <v>548440185</v>
      </c>
      <c r="H118">
        <v>-5.0000000000000001E-3</v>
      </c>
      <c r="I118">
        <v>16.36</v>
      </c>
      <c r="J118" s="3">
        <v>0.99</v>
      </c>
      <c r="M118" t="str">
        <f t="shared" si="4"/>
        <v>Low Growth</v>
      </c>
      <c r="N118" s="2">
        <f t="shared" si="5"/>
        <v>54599997295</v>
      </c>
      <c r="O118" s="12">
        <f t="shared" si="3"/>
        <v>43282</v>
      </c>
    </row>
    <row r="119" spans="1:15" x14ac:dyDescent="0.3">
      <c r="A119">
        <v>2018</v>
      </c>
      <c r="B119">
        <v>7</v>
      </c>
      <c r="C119" t="s">
        <v>20</v>
      </c>
      <c r="D119" t="s">
        <v>16</v>
      </c>
      <c r="E119">
        <v>11030</v>
      </c>
      <c r="F119" s="2">
        <v>64246</v>
      </c>
      <c r="G119" s="1">
        <v>708633380</v>
      </c>
      <c r="H119">
        <v>2.7E-2</v>
      </c>
      <c r="I119">
        <v>16.36</v>
      </c>
      <c r="J119" s="3">
        <v>0.99</v>
      </c>
      <c r="M119" t="str">
        <f t="shared" si="4"/>
        <v>Low Growth</v>
      </c>
      <c r="N119" s="2">
        <f t="shared" si="5"/>
        <v>54599997295</v>
      </c>
      <c r="O119" s="12">
        <f t="shared" si="3"/>
        <v>43282</v>
      </c>
    </row>
    <row r="120" spans="1:15" x14ac:dyDescent="0.3">
      <c r="A120">
        <v>2018</v>
      </c>
      <c r="B120">
        <v>7</v>
      </c>
      <c r="C120" t="s">
        <v>20</v>
      </c>
      <c r="D120" t="s">
        <v>17</v>
      </c>
      <c r="E120">
        <v>2379</v>
      </c>
      <c r="F120" s="2">
        <v>73003</v>
      </c>
      <c r="G120" s="1">
        <v>173674137</v>
      </c>
      <c r="H120">
        <v>2.4E-2</v>
      </c>
      <c r="I120">
        <v>16.36</v>
      </c>
      <c r="J120" s="3">
        <v>0.99</v>
      </c>
      <c r="M120" t="str">
        <f t="shared" si="4"/>
        <v>Low Growth</v>
      </c>
      <c r="N120" s="2">
        <f t="shared" si="5"/>
        <v>54599997295</v>
      </c>
      <c r="O120" s="12">
        <f t="shared" si="3"/>
        <v>43282</v>
      </c>
    </row>
    <row r="121" spans="1:15" x14ac:dyDescent="0.3">
      <c r="A121">
        <v>2018</v>
      </c>
      <c r="B121">
        <v>7</v>
      </c>
      <c r="C121" t="s">
        <v>20</v>
      </c>
      <c r="D121" t="s">
        <v>18</v>
      </c>
      <c r="E121">
        <v>8042</v>
      </c>
      <c r="F121" s="2">
        <v>40645</v>
      </c>
      <c r="G121" s="1">
        <v>326867090</v>
      </c>
      <c r="H121">
        <v>1.9E-2</v>
      </c>
      <c r="I121">
        <v>16.36</v>
      </c>
      <c r="J121" s="3">
        <v>0.99</v>
      </c>
      <c r="M121" t="str">
        <f t="shared" si="4"/>
        <v>Low Growth</v>
      </c>
      <c r="N121" s="2">
        <f t="shared" si="5"/>
        <v>54599997295</v>
      </c>
      <c r="O121" s="12">
        <f t="shared" si="3"/>
        <v>43282</v>
      </c>
    </row>
    <row r="122" spans="1:15" x14ac:dyDescent="0.3">
      <c r="A122">
        <v>2018</v>
      </c>
      <c r="B122">
        <v>7</v>
      </c>
      <c r="C122" t="s">
        <v>21</v>
      </c>
      <c r="D122" t="s">
        <v>11</v>
      </c>
      <c r="E122">
        <v>7657</v>
      </c>
      <c r="F122" s="2">
        <v>49097</v>
      </c>
      <c r="G122" s="1">
        <v>375935729</v>
      </c>
      <c r="H122">
        <v>2.3E-2</v>
      </c>
      <c r="I122">
        <v>6.45</v>
      </c>
      <c r="J122" s="3">
        <v>2.99</v>
      </c>
      <c r="M122" t="str">
        <f t="shared" si="4"/>
        <v>Low Growth</v>
      </c>
      <c r="N122" s="2">
        <f t="shared" si="5"/>
        <v>55528754190</v>
      </c>
      <c r="O122" s="12">
        <f t="shared" si="3"/>
        <v>43282</v>
      </c>
    </row>
    <row r="123" spans="1:15" x14ac:dyDescent="0.3">
      <c r="A123">
        <v>2018</v>
      </c>
      <c r="B123">
        <v>7</v>
      </c>
      <c r="C123" t="s">
        <v>21</v>
      </c>
      <c r="D123" t="s">
        <v>12</v>
      </c>
      <c r="E123">
        <v>8375</v>
      </c>
      <c r="F123" s="2">
        <v>63371</v>
      </c>
      <c r="G123" s="1">
        <v>530732125</v>
      </c>
      <c r="H123">
        <v>3.7999999999999999E-2</v>
      </c>
      <c r="I123">
        <v>6.45</v>
      </c>
      <c r="J123" s="3">
        <v>2.99</v>
      </c>
      <c r="M123" t="str">
        <f t="shared" si="4"/>
        <v>High Growth</v>
      </c>
      <c r="N123" s="2">
        <f t="shared" si="5"/>
        <v>55528754190</v>
      </c>
      <c r="O123" s="12">
        <f t="shared" si="3"/>
        <v>43282</v>
      </c>
    </row>
    <row r="124" spans="1:15" x14ac:dyDescent="0.3">
      <c r="A124">
        <v>2018</v>
      </c>
      <c r="B124">
        <v>7</v>
      </c>
      <c r="C124" t="s">
        <v>21</v>
      </c>
      <c r="D124" t="s">
        <v>13</v>
      </c>
      <c r="E124">
        <v>8520</v>
      </c>
      <c r="F124" s="2">
        <v>58187</v>
      </c>
      <c r="G124" s="1">
        <v>495753240</v>
      </c>
      <c r="H124">
        <v>2.5999999999999999E-2</v>
      </c>
      <c r="I124">
        <v>6.45</v>
      </c>
      <c r="J124" s="3">
        <v>2.99</v>
      </c>
      <c r="M124" t="str">
        <f t="shared" si="4"/>
        <v>Low Growth</v>
      </c>
      <c r="N124" s="2">
        <f t="shared" si="5"/>
        <v>55528754190</v>
      </c>
      <c r="O124" s="12">
        <f t="shared" si="3"/>
        <v>43282</v>
      </c>
    </row>
    <row r="125" spans="1:15" x14ac:dyDescent="0.3">
      <c r="A125">
        <v>2018</v>
      </c>
      <c r="B125">
        <v>7</v>
      </c>
      <c r="C125" t="s">
        <v>21</v>
      </c>
      <c r="D125" t="s">
        <v>14</v>
      </c>
      <c r="E125">
        <v>4320</v>
      </c>
      <c r="F125" s="2">
        <v>69137</v>
      </c>
      <c r="G125" s="1">
        <v>298671840</v>
      </c>
      <c r="H125">
        <v>1.2E-2</v>
      </c>
      <c r="I125">
        <v>6.45</v>
      </c>
      <c r="J125" s="3">
        <v>2.99</v>
      </c>
      <c r="M125" t="str">
        <f t="shared" si="4"/>
        <v>Low Growth</v>
      </c>
      <c r="N125" s="2">
        <f t="shared" si="5"/>
        <v>55528754190</v>
      </c>
      <c r="O125" s="12">
        <f t="shared" si="3"/>
        <v>43282</v>
      </c>
    </row>
    <row r="126" spans="1:15" x14ac:dyDescent="0.3">
      <c r="A126">
        <v>2018</v>
      </c>
      <c r="B126">
        <v>7</v>
      </c>
      <c r="C126" t="s">
        <v>21</v>
      </c>
      <c r="D126" t="s">
        <v>15</v>
      </c>
      <c r="E126">
        <v>4111</v>
      </c>
      <c r="F126" s="2">
        <v>92892</v>
      </c>
      <c r="G126" s="1">
        <v>381879012</v>
      </c>
      <c r="H126">
        <v>2.8000000000000001E-2</v>
      </c>
      <c r="I126">
        <v>6.45</v>
      </c>
      <c r="J126" s="3">
        <v>2.99</v>
      </c>
      <c r="M126" t="str">
        <f t="shared" si="4"/>
        <v>Low Growth</v>
      </c>
      <c r="N126" s="2">
        <f t="shared" si="5"/>
        <v>55528754190</v>
      </c>
      <c r="O126" s="12">
        <f t="shared" si="3"/>
        <v>43282</v>
      </c>
    </row>
    <row r="127" spans="1:15" x14ac:dyDescent="0.3">
      <c r="A127">
        <v>2018</v>
      </c>
      <c r="B127">
        <v>7</v>
      </c>
      <c r="C127" t="s">
        <v>21</v>
      </c>
      <c r="D127" t="s">
        <v>16</v>
      </c>
      <c r="E127">
        <v>4299</v>
      </c>
      <c r="F127" s="2">
        <v>65306</v>
      </c>
      <c r="G127" s="1">
        <v>280750494</v>
      </c>
      <c r="H127">
        <v>0.02</v>
      </c>
      <c r="I127">
        <v>6.45</v>
      </c>
      <c r="J127" s="3">
        <v>2.99</v>
      </c>
      <c r="M127" t="str">
        <f t="shared" si="4"/>
        <v>Low Growth</v>
      </c>
      <c r="N127" s="2">
        <f t="shared" si="5"/>
        <v>55528754190</v>
      </c>
      <c r="O127" s="12">
        <f t="shared" si="3"/>
        <v>43282</v>
      </c>
    </row>
    <row r="128" spans="1:15" x14ac:dyDescent="0.3">
      <c r="A128">
        <v>2018</v>
      </c>
      <c r="B128">
        <v>7</v>
      </c>
      <c r="C128" t="s">
        <v>21</v>
      </c>
      <c r="D128" t="s">
        <v>17</v>
      </c>
      <c r="E128">
        <v>5931</v>
      </c>
      <c r="F128" s="2">
        <v>73260</v>
      </c>
      <c r="G128" s="1">
        <v>434505060</v>
      </c>
      <c r="H128">
        <v>1.2999999999999999E-2</v>
      </c>
      <c r="I128">
        <v>6.45</v>
      </c>
      <c r="J128" s="3">
        <v>2.99</v>
      </c>
      <c r="M128" t="str">
        <f t="shared" si="4"/>
        <v>Low Growth</v>
      </c>
      <c r="N128" s="2">
        <f t="shared" si="5"/>
        <v>55528754190</v>
      </c>
      <c r="O128" s="12">
        <f t="shared" si="3"/>
        <v>43282</v>
      </c>
    </row>
    <row r="129" spans="1:15" x14ac:dyDescent="0.3">
      <c r="A129">
        <v>2018</v>
      </c>
      <c r="B129">
        <v>7</v>
      </c>
      <c r="C129" t="s">
        <v>21</v>
      </c>
      <c r="D129" t="s">
        <v>18</v>
      </c>
      <c r="E129">
        <v>8111</v>
      </c>
      <c r="F129" s="2">
        <v>41673</v>
      </c>
      <c r="G129" s="1">
        <v>338009703</v>
      </c>
      <c r="H129">
        <v>-1E-3</v>
      </c>
      <c r="I129">
        <v>6.45</v>
      </c>
      <c r="J129" s="3">
        <v>2.99</v>
      </c>
      <c r="M129" t="str">
        <f t="shared" si="4"/>
        <v>Low Growth</v>
      </c>
      <c r="N129" s="2">
        <f t="shared" si="5"/>
        <v>55528754190</v>
      </c>
      <c r="O129" s="12">
        <f t="shared" si="3"/>
        <v>43282</v>
      </c>
    </row>
    <row r="130" spans="1:15" x14ac:dyDescent="0.3">
      <c r="A130">
        <v>2018</v>
      </c>
      <c r="B130">
        <v>8</v>
      </c>
      <c r="C130" t="s">
        <v>10</v>
      </c>
      <c r="D130" t="s">
        <v>11</v>
      </c>
      <c r="E130">
        <v>5065</v>
      </c>
      <c r="F130" s="2">
        <v>49621</v>
      </c>
      <c r="G130" s="1">
        <v>251330365</v>
      </c>
      <c r="H130">
        <v>1.9E-2</v>
      </c>
      <c r="I130">
        <v>18.77</v>
      </c>
      <c r="J130" s="3">
        <v>2.4</v>
      </c>
      <c r="M130" t="str">
        <f t="shared" si="4"/>
        <v>Low Growth</v>
      </c>
      <c r="N130" s="2">
        <f t="shared" si="5"/>
        <v>56325491359</v>
      </c>
      <c r="O130" s="12">
        <f t="shared" ref="O130:O193" si="6">DATE(A130,B130,1)</f>
        <v>43313</v>
      </c>
    </row>
    <row r="131" spans="1:15" x14ac:dyDescent="0.3">
      <c r="A131">
        <v>2018</v>
      </c>
      <c r="B131">
        <v>8</v>
      </c>
      <c r="C131" t="s">
        <v>10</v>
      </c>
      <c r="D131" t="s">
        <v>12</v>
      </c>
      <c r="E131">
        <v>5690</v>
      </c>
      <c r="F131" s="2">
        <v>63677</v>
      </c>
      <c r="G131" s="1">
        <v>362322130</v>
      </c>
      <c r="H131">
        <v>0.01</v>
      </c>
      <c r="I131">
        <v>18.77</v>
      </c>
      <c r="J131" s="3">
        <v>2.4</v>
      </c>
      <c r="M131" t="str">
        <f t="shared" ref="M131:M194" si="7">IF(H131&gt;0.03,"High Growth","Low Growth")</f>
        <v>Low Growth</v>
      </c>
      <c r="N131" s="2">
        <f t="shared" ref="N131:N194" si="8">SUMIF(C:C, C131, G:G)</f>
        <v>56325491359</v>
      </c>
      <c r="O131" s="12">
        <f t="shared" si="6"/>
        <v>43313</v>
      </c>
    </row>
    <row r="132" spans="1:15" x14ac:dyDescent="0.3">
      <c r="A132">
        <v>2018</v>
      </c>
      <c r="B132">
        <v>8</v>
      </c>
      <c r="C132" t="s">
        <v>10</v>
      </c>
      <c r="D132" t="s">
        <v>13</v>
      </c>
      <c r="E132">
        <v>11219</v>
      </c>
      <c r="F132" s="2">
        <v>58635</v>
      </c>
      <c r="G132" s="1">
        <v>657826065</v>
      </c>
      <c r="H132">
        <v>2.1999999999999999E-2</v>
      </c>
      <c r="I132">
        <v>18.77</v>
      </c>
      <c r="J132" s="3">
        <v>2.4</v>
      </c>
      <c r="M132" t="str">
        <f t="shared" si="7"/>
        <v>Low Growth</v>
      </c>
      <c r="N132" s="2">
        <f t="shared" si="8"/>
        <v>56325491359</v>
      </c>
      <c r="O132" s="12">
        <f t="shared" si="6"/>
        <v>43313</v>
      </c>
    </row>
    <row r="133" spans="1:15" x14ac:dyDescent="0.3">
      <c r="A133">
        <v>2018</v>
      </c>
      <c r="B133">
        <v>8</v>
      </c>
      <c r="C133" t="s">
        <v>10</v>
      </c>
      <c r="D133" t="s">
        <v>14</v>
      </c>
      <c r="E133">
        <v>10128</v>
      </c>
      <c r="F133" s="2">
        <v>68570</v>
      </c>
      <c r="G133" s="1">
        <v>694476960</v>
      </c>
      <c r="H133">
        <v>2.1000000000000001E-2</v>
      </c>
      <c r="I133">
        <v>18.77</v>
      </c>
      <c r="J133" s="3">
        <v>2.4</v>
      </c>
      <c r="M133" t="str">
        <f t="shared" si="7"/>
        <v>Low Growth</v>
      </c>
      <c r="N133" s="2">
        <f t="shared" si="8"/>
        <v>56325491359</v>
      </c>
      <c r="O133" s="12">
        <f t="shared" si="6"/>
        <v>43313</v>
      </c>
    </row>
    <row r="134" spans="1:15" x14ac:dyDescent="0.3">
      <c r="A134">
        <v>2018</v>
      </c>
      <c r="B134">
        <v>8</v>
      </c>
      <c r="C134" t="s">
        <v>10</v>
      </c>
      <c r="D134" t="s">
        <v>15</v>
      </c>
      <c r="E134">
        <v>4807</v>
      </c>
      <c r="F134" s="2">
        <v>91855</v>
      </c>
      <c r="G134" s="1">
        <v>441546985</v>
      </c>
      <c r="H134">
        <v>2.5000000000000001E-2</v>
      </c>
      <c r="I134">
        <v>18.77</v>
      </c>
      <c r="J134" s="3">
        <v>2.4</v>
      </c>
      <c r="M134" t="str">
        <f t="shared" si="7"/>
        <v>Low Growth</v>
      </c>
      <c r="N134" s="2">
        <f t="shared" si="8"/>
        <v>56325491359</v>
      </c>
      <c r="O134" s="12">
        <f t="shared" si="6"/>
        <v>43313</v>
      </c>
    </row>
    <row r="135" spans="1:15" x14ac:dyDescent="0.3">
      <c r="A135">
        <v>2018</v>
      </c>
      <c r="B135">
        <v>8</v>
      </c>
      <c r="C135" t="s">
        <v>10</v>
      </c>
      <c r="D135" t="s">
        <v>16</v>
      </c>
      <c r="E135">
        <v>7569</v>
      </c>
      <c r="F135" s="2">
        <v>66911</v>
      </c>
      <c r="G135" s="1">
        <v>506449359</v>
      </c>
      <c r="H135">
        <v>3.5999999999999997E-2</v>
      </c>
      <c r="I135">
        <v>18.77</v>
      </c>
      <c r="J135" s="3">
        <v>2.4</v>
      </c>
      <c r="M135" t="str">
        <f t="shared" si="7"/>
        <v>High Growth</v>
      </c>
      <c r="N135" s="2">
        <f t="shared" si="8"/>
        <v>56325491359</v>
      </c>
      <c r="O135" s="12">
        <f t="shared" si="6"/>
        <v>43313</v>
      </c>
    </row>
    <row r="136" spans="1:15" x14ac:dyDescent="0.3">
      <c r="A136">
        <v>2018</v>
      </c>
      <c r="B136">
        <v>8</v>
      </c>
      <c r="C136" t="s">
        <v>10</v>
      </c>
      <c r="D136" t="s">
        <v>17</v>
      </c>
      <c r="E136">
        <v>10985</v>
      </c>
      <c r="F136" s="2">
        <v>74314</v>
      </c>
      <c r="G136" s="1">
        <v>816339290</v>
      </c>
      <c r="H136">
        <v>2.8000000000000001E-2</v>
      </c>
      <c r="I136">
        <v>18.77</v>
      </c>
      <c r="J136" s="3">
        <v>2.4</v>
      </c>
      <c r="M136" t="str">
        <f t="shared" si="7"/>
        <v>Low Growth</v>
      </c>
      <c r="N136" s="2">
        <f t="shared" si="8"/>
        <v>56325491359</v>
      </c>
      <c r="O136" s="12">
        <f t="shared" si="6"/>
        <v>43313</v>
      </c>
    </row>
    <row r="137" spans="1:15" x14ac:dyDescent="0.3">
      <c r="A137">
        <v>2018</v>
      </c>
      <c r="B137">
        <v>8</v>
      </c>
      <c r="C137" t="s">
        <v>10</v>
      </c>
      <c r="D137" t="s">
        <v>18</v>
      </c>
      <c r="E137">
        <v>6954</v>
      </c>
      <c r="F137" s="2">
        <v>43236</v>
      </c>
      <c r="G137" s="1">
        <v>300663144</v>
      </c>
      <c r="H137">
        <v>2.5999999999999999E-2</v>
      </c>
      <c r="I137">
        <v>18.77</v>
      </c>
      <c r="J137" s="3">
        <v>2.4</v>
      </c>
      <c r="M137" t="str">
        <f t="shared" si="7"/>
        <v>Low Growth</v>
      </c>
      <c r="N137" s="2">
        <f t="shared" si="8"/>
        <v>56325491359</v>
      </c>
      <c r="O137" s="12">
        <f t="shared" si="6"/>
        <v>43313</v>
      </c>
    </row>
    <row r="138" spans="1:15" x14ac:dyDescent="0.3">
      <c r="A138">
        <v>2018</v>
      </c>
      <c r="B138">
        <v>8</v>
      </c>
      <c r="C138" t="s">
        <v>19</v>
      </c>
      <c r="D138" t="s">
        <v>11</v>
      </c>
      <c r="E138">
        <v>6390</v>
      </c>
      <c r="F138" s="2">
        <v>48449</v>
      </c>
      <c r="G138" s="1">
        <v>309589110</v>
      </c>
      <c r="H138">
        <v>2.8000000000000001E-2</v>
      </c>
      <c r="I138">
        <v>17.66</v>
      </c>
      <c r="J138" s="3">
        <v>3.54</v>
      </c>
      <c r="M138" t="str">
        <f t="shared" si="7"/>
        <v>Low Growth</v>
      </c>
      <c r="N138" s="2">
        <f t="shared" si="8"/>
        <v>58905926051</v>
      </c>
      <c r="O138" s="12">
        <f t="shared" si="6"/>
        <v>43313</v>
      </c>
    </row>
    <row r="139" spans="1:15" x14ac:dyDescent="0.3">
      <c r="A139">
        <v>2018</v>
      </c>
      <c r="B139">
        <v>8</v>
      </c>
      <c r="C139" t="s">
        <v>19</v>
      </c>
      <c r="D139" t="s">
        <v>12</v>
      </c>
      <c r="E139">
        <v>8970</v>
      </c>
      <c r="F139" s="2">
        <v>63762</v>
      </c>
      <c r="G139" s="1">
        <v>571945140</v>
      </c>
      <c r="H139">
        <v>3.0000000000000001E-3</v>
      </c>
      <c r="I139">
        <v>17.66</v>
      </c>
      <c r="J139" s="3">
        <v>3.54</v>
      </c>
      <c r="M139" t="str">
        <f t="shared" si="7"/>
        <v>Low Growth</v>
      </c>
      <c r="N139" s="2">
        <f t="shared" si="8"/>
        <v>58905926051</v>
      </c>
      <c r="O139" s="12">
        <f t="shared" si="6"/>
        <v>43313</v>
      </c>
    </row>
    <row r="140" spans="1:15" x14ac:dyDescent="0.3">
      <c r="A140">
        <v>2018</v>
      </c>
      <c r="B140">
        <v>8</v>
      </c>
      <c r="C140" t="s">
        <v>19</v>
      </c>
      <c r="D140" t="s">
        <v>13</v>
      </c>
      <c r="E140">
        <v>9788</v>
      </c>
      <c r="F140" s="2">
        <v>58190</v>
      </c>
      <c r="G140" s="1">
        <v>569563720</v>
      </c>
      <c r="H140">
        <v>3.1E-2</v>
      </c>
      <c r="I140">
        <v>17.66</v>
      </c>
      <c r="J140" s="3">
        <v>3.54</v>
      </c>
      <c r="M140" t="str">
        <f t="shared" si="7"/>
        <v>High Growth</v>
      </c>
      <c r="N140" s="2">
        <f t="shared" si="8"/>
        <v>58905926051</v>
      </c>
      <c r="O140" s="12">
        <f t="shared" si="6"/>
        <v>43313</v>
      </c>
    </row>
    <row r="141" spans="1:15" x14ac:dyDescent="0.3">
      <c r="A141">
        <v>2018</v>
      </c>
      <c r="B141">
        <v>8</v>
      </c>
      <c r="C141" t="s">
        <v>19</v>
      </c>
      <c r="D141" t="s">
        <v>14</v>
      </c>
      <c r="E141">
        <v>11099</v>
      </c>
      <c r="F141" s="2">
        <v>69712</v>
      </c>
      <c r="G141" s="1">
        <v>773733488</v>
      </c>
      <c r="H141">
        <v>1.2E-2</v>
      </c>
      <c r="I141">
        <v>17.66</v>
      </c>
      <c r="J141" s="3">
        <v>3.54</v>
      </c>
      <c r="M141" t="str">
        <f t="shared" si="7"/>
        <v>Low Growth</v>
      </c>
      <c r="N141" s="2">
        <f t="shared" si="8"/>
        <v>58905926051</v>
      </c>
      <c r="O141" s="12">
        <f t="shared" si="6"/>
        <v>43313</v>
      </c>
    </row>
    <row r="142" spans="1:15" x14ac:dyDescent="0.3">
      <c r="A142">
        <v>2018</v>
      </c>
      <c r="B142">
        <v>8</v>
      </c>
      <c r="C142" t="s">
        <v>19</v>
      </c>
      <c r="D142" t="s">
        <v>15</v>
      </c>
      <c r="E142">
        <v>4457</v>
      </c>
      <c r="F142" s="2">
        <v>91997</v>
      </c>
      <c r="G142" s="1">
        <v>410030629</v>
      </c>
      <c r="H142">
        <v>1.7999999999999999E-2</v>
      </c>
      <c r="I142">
        <v>17.66</v>
      </c>
      <c r="J142" s="3">
        <v>3.54</v>
      </c>
      <c r="M142" t="str">
        <f t="shared" si="7"/>
        <v>Low Growth</v>
      </c>
      <c r="N142" s="2">
        <f t="shared" si="8"/>
        <v>58905926051</v>
      </c>
      <c r="O142" s="12">
        <f t="shared" si="6"/>
        <v>43313</v>
      </c>
    </row>
    <row r="143" spans="1:15" x14ac:dyDescent="0.3">
      <c r="A143">
        <v>2018</v>
      </c>
      <c r="B143">
        <v>8</v>
      </c>
      <c r="C143" t="s">
        <v>19</v>
      </c>
      <c r="D143" t="s">
        <v>16</v>
      </c>
      <c r="E143">
        <v>5877</v>
      </c>
      <c r="F143" s="2">
        <v>65151</v>
      </c>
      <c r="G143" s="1">
        <v>382892427</v>
      </c>
      <c r="H143">
        <v>2.8000000000000001E-2</v>
      </c>
      <c r="I143">
        <v>17.66</v>
      </c>
      <c r="J143" s="3">
        <v>3.54</v>
      </c>
      <c r="M143" t="str">
        <f t="shared" si="7"/>
        <v>Low Growth</v>
      </c>
      <c r="N143" s="2">
        <f t="shared" si="8"/>
        <v>58905926051</v>
      </c>
      <c r="O143" s="12">
        <f t="shared" si="6"/>
        <v>43313</v>
      </c>
    </row>
    <row r="144" spans="1:15" x14ac:dyDescent="0.3">
      <c r="A144">
        <v>2018</v>
      </c>
      <c r="B144">
        <v>8</v>
      </c>
      <c r="C144" t="s">
        <v>19</v>
      </c>
      <c r="D144" t="s">
        <v>17</v>
      </c>
      <c r="E144">
        <v>6192</v>
      </c>
      <c r="F144" s="2">
        <v>75626</v>
      </c>
      <c r="G144" s="1">
        <v>468276192</v>
      </c>
      <c r="H144">
        <v>-3.0000000000000001E-3</v>
      </c>
      <c r="I144">
        <v>17.66</v>
      </c>
      <c r="J144" s="3">
        <v>3.54</v>
      </c>
      <c r="M144" t="str">
        <f t="shared" si="7"/>
        <v>Low Growth</v>
      </c>
      <c r="N144" s="2">
        <f t="shared" si="8"/>
        <v>58905926051</v>
      </c>
      <c r="O144" s="12">
        <f t="shared" si="6"/>
        <v>43313</v>
      </c>
    </row>
    <row r="145" spans="1:15" x14ac:dyDescent="0.3">
      <c r="A145">
        <v>2018</v>
      </c>
      <c r="B145">
        <v>8</v>
      </c>
      <c r="C145" t="s">
        <v>19</v>
      </c>
      <c r="D145" t="s">
        <v>18</v>
      </c>
      <c r="E145">
        <v>3516</v>
      </c>
      <c r="F145" s="2">
        <v>42601</v>
      </c>
      <c r="G145" s="1">
        <v>149785116</v>
      </c>
      <c r="H145">
        <v>3.4000000000000002E-2</v>
      </c>
      <c r="I145">
        <v>17.66</v>
      </c>
      <c r="J145" s="3">
        <v>3.54</v>
      </c>
      <c r="M145" t="str">
        <f t="shared" si="7"/>
        <v>High Growth</v>
      </c>
      <c r="N145" s="2">
        <f t="shared" si="8"/>
        <v>58905926051</v>
      </c>
      <c r="O145" s="12">
        <f t="shared" si="6"/>
        <v>43313</v>
      </c>
    </row>
    <row r="146" spans="1:15" x14ac:dyDescent="0.3">
      <c r="A146">
        <v>2018</v>
      </c>
      <c r="B146">
        <v>8</v>
      </c>
      <c r="C146" t="s">
        <v>20</v>
      </c>
      <c r="D146" t="s">
        <v>11</v>
      </c>
      <c r="E146">
        <v>10610</v>
      </c>
      <c r="F146" s="2">
        <v>48597</v>
      </c>
      <c r="G146" s="1">
        <v>515614170</v>
      </c>
      <c r="H146">
        <v>2.1999999999999999E-2</v>
      </c>
      <c r="I146">
        <v>18.34</v>
      </c>
      <c r="J146" s="3">
        <v>3.34</v>
      </c>
      <c r="M146" t="str">
        <f t="shared" si="7"/>
        <v>Low Growth</v>
      </c>
      <c r="N146" s="2">
        <f t="shared" si="8"/>
        <v>54599997295</v>
      </c>
      <c r="O146" s="12">
        <f t="shared" si="6"/>
        <v>43313</v>
      </c>
    </row>
    <row r="147" spans="1:15" x14ac:dyDescent="0.3">
      <c r="A147">
        <v>2018</v>
      </c>
      <c r="B147">
        <v>8</v>
      </c>
      <c r="C147" t="s">
        <v>20</v>
      </c>
      <c r="D147" t="s">
        <v>12</v>
      </c>
      <c r="E147">
        <v>3439</v>
      </c>
      <c r="F147" s="2">
        <v>63068</v>
      </c>
      <c r="G147" s="1">
        <v>216890852</v>
      </c>
      <c r="H147">
        <v>2.1999999999999999E-2</v>
      </c>
      <c r="I147">
        <v>18.34</v>
      </c>
      <c r="J147" s="3">
        <v>3.34</v>
      </c>
      <c r="M147" t="str">
        <f t="shared" si="7"/>
        <v>Low Growth</v>
      </c>
      <c r="N147" s="2">
        <f t="shared" si="8"/>
        <v>54599997295</v>
      </c>
      <c r="O147" s="12">
        <f t="shared" si="6"/>
        <v>43313</v>
      </c>
    </row>
    <row r="148" spans="1:15" x14ac:dyDescent="0.3">
      <c r="A148">
        <v>2018</v>
      </c>
      <c r="B148">
        <v>8</v>
      </c>
      <c r="C148" t="s">
        <v>20</v>
      </c>
      <c r="D148" t="s">
        <v>13</v>
      </c>
      <c r="E148">
        <v>3277</v>
      </c>
      <c r="F148" s="2">
        <v>57857</v>
      </c>
      <c r="G148" s="1">
        <v>189597389</v>
      </c>
      <c r="H148">
        <v>1.6E-2</v>
      </c>
      <c r="I148">
        <v>18.34</v>
      </c>
      <c r="J148" s="3">
        <v>3.34</v>
      </c>
      <c r="M148" t="str">
        <f t="shared" si="7"/>
        <v>Low Growth</v>
      </c>
      <c r="N148" s="2">
        <f t="shared" si="8"/>
        <v>54599997295</v>
      </c>
      <c r="O148" s="12">
        <f t="shared" si="6"/>
        <v>43313</v>
      </c>
    </row>
    <row r="149" spans="1:15" x14ac:dyDescent="0.3">
      <c r="A149">
        <v>2018</v>
      </c>
      <c r="B149">
        <v>8</v>
      </c>
      <c r="C149" t="s">
        <v>20</v>
      </c>
      <c r="D149" t="s">
        <v>14</v>
      </c>
      <c r="E149">
        <v>6756</v>
      </c>
      <c r="F149" s="2">
        <v>68658</v>
      </c>
      <c r="G149" s="1">
        <v>463853448</v>
      </c>
      <c r="H149">
        <v>1.6E-2</v>
      </c>
      <c r="I149">
        <v>18.34</v>
      </c>
      <c r="J149" s="3">
        <v>3.34</v>
      </c>
      <c r="M149" t="str">
        <f t="shared" si="7"/>
        <v>Low Growth</v>
      </c>
      <c r="N149" s="2">
        <f t="shared" si="8"/>
        <v>54599997295</v>
      </c>
      <c r="O149" s="12">
        <f t="shared" si="6"/>
        <v>43313</v>
      </c>
    </row>
    <row r="150" spans="1:15" x14ac:dyDescent="0.3">
      <c r="A150">
        <v>2018</v>
      </c>
      <c r="B150">
        <v>8</v>
      </c>
      <c r="C150" t="s">
        <v>20</v>
      </c>
      <c r="D150" t="s">
        <v>15</v>
      </c>
      <c r="E150">
        <v>4146</v>
      </c>
      <c r="F150" s="2">
        <v>93230</v>
      </c>
      <c r="G150" s="1">
        <v>386531580</v>
      </c>
      <c r="H150">
        <v>0.03</v>
      </c>
      <c r="I150">
        <v>18.34</v>
      </c>
      <c r="J150" s="3">
        <v>3.34</v>
      </c>
      <c r="M150" t="str">
        <f t="shared" si="7"/>
        <v>Low Growth</v>
      </c>
      <c r="N150" s="2">
        <f t="shared" si="8"/>
        <v>54599997295</v>
      </c>
      <c r="O150" s="12">
        <f t="shared" si="6"/>
        <v>43313</v>
      </c>
    </row>
    <row r="151" spans="1:15" x14ac:dyDescent="0.3">
      <c r="A151">
        <v>2018</v>
      </c>
      <c r="B151">
        <v>8</v>
      </c>
      <c r="C151" t="s">
        <v>20</v>
      </c>
      <c r="D151" t="s">
        <v>16</v>
      </c>
      <c r="E151">
        <v>8427</v>
      </c>
      <c r="F151" s="2">
        <v>64900</v>
      </c>
      <c r="G151" s="1">
        <v>546912300</v>
      </c>
      <c r="H151">
        <v>1.4999999999999999E-2</v>
      </c>
      <c r="I151">
        <v>18.34</v>
      </c>
      <c r="J151" s="3">
        <v>3.34</v>
      </c>
      <c r="M151" t="str">
        <f t="shared" si="7"/>
        <v>Low Growth</v>
      </c>
      <c r="N151" s="2">
        <f t="shared" si="8"/>
        <v>54599997295</v>
      </c>
      <c r="O151" s="12">
        <f t="shared" si="6"/>
        <v>43313</v>
      </c>
    </row>
    <row r="152" spans="1:15" x14ac:dyDescent="0.3">
      <c r="A152">
        <v>2018</v>
      </c>
      <c r="B152">
        <v>8</v>
      </c>
      <c r="C152" t="s">
        <v>20</v>
      </c>
      <c r="D152" t="s">
        <v>17</v>
      </c>
      <c r="E152">
        <v>8416</v>
      </c>
      <c r="F152" s="2">
        <v>76719</v>
      </c>
      <c r="G152" s="1">
        <v>645667104</v>
      </c>
      <c r="H152">
        <v>2.1000000000000001E-2</v>
      </c>
      <c r="I152">
        <v>18.34</v>
      </c>
      <c r="J152" s="3">
        <v>3.34</v>
      </c>
      <c r="M152" t="str">
        <f t="shared" si="7"/>
        <v>Low Growth</v>
      </c>
      <c r="N152" s="2">
        <f t="shared" si="8"/>
        <v>54599997295</v>
      </c>
      <c r="O152" s="12">
        <f t="shared" si="6"/>
        <v>43313</v>
      </c>
    </row>
    <row r="153" spans="1:15" x14ac:dyDescent="0.3">
      <c r="A153">
        <v>2018</v>
      </c>
      <c r="B153">
        <v>8</v>
      </c>
      <c r="C153" t="s">
        <v>20</v>
      </c>
      <c r="D153" t="s">
        <v>18</v>
      </c>
      <c r="E153">
        <v>4627</v>
      </c>
      <c r="F153" s="2">
        <v>42891</v>
      </c>
      <c r="G153" s="1">
        <v>198456657</v>
      </c>
      <c r="H153">
        <v>4.4999999999999998E-2</v>
      </c>
      <c r="I153">
        <v>18.34</v>
      </c>
      <c r="J153" s="3">
        <v>3.34</v>
      </c>
      <c r="M153" t="str">
        <f t="shared" si="7"/>
        <v>High Growth</v>
      </c>
      <c r="N153" s="2">
        <f t="shared" si="8"/>
        <v>54599997295</v>
      </c>
      <c r="O153" s="12">
        <f t="shared" si="6"/>
        <v>43313</v>
      </c>
    </row>
    <row r="154" spans="1:15" x14ac:dyDescent="0.3">
      <c r="A154">
        <v>2018</v>
      </c>
      <c r="B154">
        <v>8</v>
      </c>
      <c r="C154" t="s">
        <v>21</v>
      </c>
      <c r="D154" t="s">
        <v>11</v>
      </c>
      <c r="E154">
        <v>4385</v>
      </c>
      <c r="F154" s="2">
        <v>48070</v>
      </c>
      <c r="G154" s="1">
        <v>210786950</v>
      </c>
      <c r="H154">
        <v>8.0000000000000002E-3</v>
      </c>
      <c r="I154">
        <v>6.43</v>
      </c>
      <c r="J154" s="3">
        <v>4.33</v>
      </c>
      <c r="M154" t="str">
        <f t="shared" si="7"/>
        <v>Low Growth</v>
      </c>
      <c r="N154" s="2">
        <f t="shared" si="8"/>
        <v>55528754190</v>
      </c>
      <c r="O154" s="12">
        <f t="shared" si="6"/>
        <v>43313</v>
      </c>
    </row>
    <row r="155" spans="1:15" x14ac:dyDescent="0.3">
      <c r="A155">
        <v>2018</v>
      </c>
      <c r="B155">
        <v>8</v>
      </c>
      <c r="C155" t="s">
        <v>21</v>
      </c>
      <c r="D155" t="s">
        <v>12</v>
      </c>
      <c r="E155">
        <v>3148</v>
      </c>
      <c r="F155" s="2">
        <v>60345</v>
      </c>
      <c r="G155" s="1">
        <v>189966060</v>
      </c>
      <c r="H155">
        <v>1.2999999999999999E-2</v>
      </c>
      <c r="I155">
        <v>6.43</v>
      </c>
      <c r="J155" s="3">
        <v>4.33</v>
      </c>
      <c r="M155" t="str">
        <f t="shared" si="7"/>
        <v>Low Growth</v>
      </c>
      <c r="N155" s="2">
        <f t="shared" si="8"/>
        <v>55528754190</v>
      </c>
      <c r="O155" s="12">
        <f t="shared" si="6"/>
        <v>43313</v>
      </c>
    </row>
    <row r="156" spans="1:15" x14ac:dyDescent="0.3">
      <c r="A156">
        <v>2018</v>
      </c>
      <c r="B156">
        <v>8</v>
      </c>
      <c r="C156" t="s">
        <v>21</v>
      </c>
      <c r="D156" t="s">
        <v>13</v>
      </c>
      <c r="E156">
        <v>10501</v>
      </c>
      <c r="F156" s="2">
        <v>59005</v>
      </c>
      <c r="G156" s="1">
        <v>619611505</v>
      </c>
      <c r="H156">
        <v>2.3E-2</v>
      </c>
      <c r="I156">
        <v>6.43</v>
      </c>
      <c r="J156" s="3">
        <v>4.33</v>
      </c>
      <c r="M156" t="str">
        <f t="shared" si="7"/>
        <v>Low Growth</v>
      </c>
      <c r="N156" s="2">
        <f t="shared" si="8"/>
        <v>55528754190</v>
      </c>
      <c r="O156" s="12">
        <f t="shared" si="6"/>
        <v>43313</v>
      </c>
    </row>
    <row r="157" spans="1:15" x14ac:dyDescent="0.3">
      <c r="A157">
        <v>2018</v>
      </c>
      <c r="B157">
        <v>8</v>
      </c>
      <c r="C157" t="s">
        <v>21</v>
      </c>
      <c r="D157" t="s">
        <v>14</v>
      </c>
      <c r="E157">
        <v>3309</v>
      </c>
      <c r="F157" s="2">
        <v>70040</v>
      </c>
      <c r="G157" s="1">
        <v>231762360</v>
      </c>
      <c r="H157">
        <v>8.9999999999999993E-3</v>
      </c>
      <c r="I157">
        <v>6.43</v>
      </c>
      <c r="J157" s="3">
        <v>4.33</v>
      </c>
      <c r="M157" t="str">
        <f t="shared" si="7"/>
        <v>Low Growth</v>
      </c>
      <c r="N157" s="2">
        <f t="shared" si="8"/>
        <v>55528754190</v>
      </c>
      <c r="O157" s="12">
        <f t="shared" si="6"/>
        <v>43313</v>
      </c>
    </row>
    <row r="158" spans="1:15" x14ac:dyDescent="0.3">
      <c r="A158">
        <v>2018</v>
      </c>
      <c r="B158">
        <v>8</v>
      </c>
      <c r="C158" t="s">
        <v>21</v>
      </c>
      <c r="D158" t="s">
        <v>15</v>
      </c>
      <c r="E158">
        <v>9775</v>
      </c>
      <c r="F158" s="2">
        <v>93051</v>
      </c>
      <c r="G158" s="1">
        <v>909573525</v>
      </c>
      <c r="H158">
        <v>2.5999999999999999E-2</v>
      </c>
      <c r="I158">
        <v>6.43</v>
      </c>
      <c r="J158" s="3">
        <v>4.33</v>
      </c>
      <c r="M158" t="str">
        <f t="shared" si="7"/>
        <v>Low Growth</v>
      </c>
      <c r="N158" s="2">
        <f t="shared" si="8"/>
        <v>55528754190</v>
      </c>
      <c r="O158" s="12">
        <f t="shared" si="6"/>
        <v>43313</v>
      </c>
    </row>
    <row r="159" spans="1:15" x14ac:dyDescent="0.3">
      <c r="A159">
        <v>2018</v>
      </c>
      <c r="B159">
        <v>8</v>
      </c>
      <c r="C159" t="s">
        <v>21</v>
      </c>
      <c r="D159" t="s">
        <v>16</v>
      </c>
      <c r="E159">
        <v>6603</v>
      </c>
      <c r="F159" s="2">
        <v>66055</v>
      </c>
      <c r="G159" s="1">
        <v>436161165</v>
      </c>
      <c r="H159">
        <v>3.5999999999999997E-2</v>
      </c>
      <c r="I159">
        <v>6.43</v>
      </c>
      <c r="J159" s="3">
        <v>4.33</v>
      </c>
      <c r="M159" t="str">
        <f t="shared" si="7"/>
        <v>High Growth</v>
      </c>
      <c r="N159" s="2">
        <f t="shared" si="8"/>
        <v>55528754190</v>
      </c>
      <c r="O159" s="12">
        <f t="shared" si="6"/>
        <v>43313</v>
      </c>
    </row>
    <row r="160" spans="1:15" x14ac:dyDescent="0.3">
      <c r="A160">
        <v>2018</v>
      </c>
      <c r="B160">
        <v>8</v>
      </c>
      <c r="C160" t="s">
        <v>21</v>
      </c>
      <c r="D160" t="s">
        <v>17</v>
      </c>
      <c r="E160">
        <v>6057</v>
      </c>
      <c r="F160" s="2">
        <v>73603</v>
      </c>
      <c r="G160" s="1">
        <v>445813371</v>
      </c>
      <c r="H160">
        <v>1.2E-2</v>
      </c>
      <c r="I160">
        <v>6.43</v>
      </c>
      <c r="J160" s="3">
        <v>4.33</v>
      </c>
      <c r="M160" t="str">
        <f t="shared" si="7"/>
        <v>Low Growth</v>
      </c>
      <c r="N160" s="2">
        <f t="shared" si="8"/>
        <v>55528754190</v>
      </c>
      <c r="O160" s="12">
        <f t="shared" si="6"/>
        <v>43313</v>
      </c>
    </row>
    <row r="161" spans="1:15" x14ac:dyDescent="0.3">
      <c r="A161">
        <v>2018</v>
      </c>
      <c r="B161">
        <v>8</v>
      </c>
      <c r="C161" t="s">
        <v>21</v>
      </c>
      <c r="D161" t="s">
        <v>18</v>
      </c>
      <c r="E161">
        <v>8097</v>
      </c>
      <c r="F161" s="2">
        <v>41013</v>
      </c>
      <c r="G161" s="1">
        <v>332082261</v>
      </c>
      <c r="H161">
        <v>2.5000000000000001E-2</v>
      </c>
      <c r="I161">
        <v>6.43</v>
      </c>
      <c r="J161" s="3">
        <v>4.33</v>
      </c>
      <c r="M161" t="str">
        <f t="shared" si="7"/>
        <v>Low Growth</v>
      </c>
      <c r="N161" s="2">
        <f t="shared" si="8"/>
        <v>55528754190</v>
      </c>
      <c r="O161" s="12">
        <f t="shared" si="6"/>
        <v>43313</v>
      </c>
    </row>
    <row r="162" spans="1:15" x14ac:dyDescent="0.3">
      <c r="A162">
        <v>2018</v>
      </c>
      <c r="B162">
        <v>9</v>
      </c>
      <c r="C162" t="s">
        <v>10</v>
      </c>
      <c r="D162" t="s">
        <v>11</v>
      </c>
      <c r="E162">
        <v>13086</v>
      </c>
      <c r="F162" s="2">
        <v>46566</v>
      </c>
      <c r="G162" s="1">
        <v>609362676</v>
      </c>
      <c r="H162">
        <v>1.4999999999999999E-2</v>
      </c>
      <c r="I162">
        <v>15.16</v>
      </c>
      <c r="J162" s="3">
        <v>2.67</v>
      </c>
      <c r="M162" t="str">
        <f t="shared" si="7"/>
        <v>Low Growth</v>
      </c>
      <c r="N162" s="2">
        <f t="shared" si="8"/>
        <v>56325491359</v>
      </c>
      <c r="O162" s="12">
        <f t="shared" si="6"/>
        <v>43344</v>
      </c>
    </row>
    <row r="163" spans="1:15" x14ac:dyDescent="0.3">
      <c r="A163">
        <v>2018</v>
      </c>
      <c r="B163">
        <v>9</v>
      </c>
      <c r="C163" t="s">
        <v>10</v>
      </c>
      <c r="D163" t="s">
        <v>12</v>
      </c>
      <c r="E163">
        <v>9915</v>
      </c>
      <c r="F163" s="2">
        <v>60935</v>
      </c>
      <c r="G163" s="1">
        <v>604170525</v>
      </c>
      <c r="H163">
        <v>0.03</v>
      </c>
      <c r="I163">
        <v>15.16</v>
      </c>
      <c r="J163" s="3">
        <v>2.67</v>
      </c>
      <c r="M163" t="str">
        <f t="shared" si="7"/>
        <v>Low Growth</v>
      </c>
      <c r="N163" s="2">
        <f t="shared" si="8"/>
        <v>56325491359</v>
      </c>
      <c r="O163" s="12">
        <f t="shared" si="6"/>
        <v>43344</v>
      </c>
    </row>
    <row r="164" spans="1:15" x14ac:dyDescent="0.3">
      <c r="A164">
        <v>2018</v>
      </c>
      <c r="B164">
        <v>9</v>
      </c>
      <c r="C164" t="s">
        <v>10</v>
      </c>
      <c r="D164" t="s">
        <v>13</v>
      </c>
      <c r="E164">
        <v>5728</v>
      </c>
      <c r="F164" s="2">
        <v>56201</v>
      </c>
      <c r="G164" s="1">
        <v>321919328</v>
      </c>
      <c r="H164">
        <v>3.4000000000000002E-2</v>
      </c>
      <c r="I164">
        <v>15.16</v>
      </c>
      <c r="J164" s="3">
        <v>2.67</v>
      </c>
      <c r="M164" t="str">
        <f t="shared" si="7"/>
        <v>High Growth</v>
      </c>
      <c r="N164" s="2">
        <f t="shared" si="8"/>
        <v>56325491359</v>
      </c>
      <c r="O164" s="12">
        <f t="shared" si="6"/>
        <v>43344</v>
      </c>
    </row>
    <row r="165" spans="1:15" x14ac:dyDescent="0.3">
      <c r="A165">
        <v>2018</v>
      </c>
      <c r="B165">
        <v>9</v>
      </c>
      <c r="C165" t="s">
        <v>10</v>
      </c>
      <c r="D165" t="s">
        <v>14</v>
      </c>
      <c r="E165">
        <v>6607</v>
      </c>
      <c r="F165" s="2">
        <v>69360</v>
      </c>
      <c r="G165" s="1">
        <v>458261520</v>
      </c>
      <c r="H165">
        <v>1.2999999999999999E-2</v>
      </c>
      <c r="I165">
        <v>15.16</v>
      </c>
      <c r="J165" s="3">
        <v>2.67</v>
      </c>
      <c r="M165" t="str">
        <f t="shared" si="7"/>
        <v>Low Growth</v>
      </c>
      <c r="N165" s="2">
        <f t="shared" si="8"/>
        <v>56325491359</v>
      </c>
      <c r="O165" s="12">
        <f t="shared" si="6"/>
        <v>43344</v>
      </c>
    </row>
    <row r="166" spans="1:15" x14ac:dyDescent="0.3">
      <c r="A166">
        <v>2018</v>
      </c>
      <c r="B166">
        <v>9</v>
      </c>
      <c r="C166" t="s">
        <v>10</v>
      </c>
      <c r="D166" t="s">
        <v>15</v>
      </c>
      <c r="E166">
        <v>7383</v>
      </c>
      <c r="F166" s="2">
        <v>92291</v>
      </c>
      <c r="G166" s="1">
        <v>681384453</v>
      </c>
      <c r="H166">
        <v>1.0999999999999999E-2</v>
      </c>
      <c r="I166">
        <v>15.16</v>
      </c>
      <c r="J166" s="3">
        <v>2.67</v>
      </c>
      <c r="M166" t="str">
        <f t="shared" si="7"/>
        <v>Low Growth</v>
      </c>
      <c r="N166" s="2">
        <f t="shared" si="8"/>
        <v>56325491359</v>
      </c>
      <c r="O166" s="12">
        <f t="shared" si="6"/>
        <v>43344</v>
      </c>
    </row>
    <row r="167" spans="1:15" x14ac:dyDescent="0.3">
      <c r="A167">
        <v>2018</v>
      </c>
      <c r="B167">
        <v>9</v>
      </c>
      <c r="C167" t="s">
        <v>10</v>
      </c>
      <c r="D167" t="s">
        <v>16</v>
      </c>
      <c r="E167">
        <v>3339</v>
      </c>
      <c r="F167" s="2">
        <v>64625</v>
      </c>
      <c r="G167" s="1">
        <v>215782875</v>
      </c>
      <c r="H167">
        <v>2.1999999999999999E-2</v>
      </c>
      <c r="I167">
        <v>15.16</v>
      </c>
      <c r="J167" s="3">
        <v>2.67</v>
      </c>
      <c r="M167" t="str">
        <f t="shared" si="7"/>
        <v>Low Growth</v>
      </c>
      <c r="N167" s="2">
        <f t="shared" si="8"/>
        <v>56325491359</v>
      </c>
      <c r="O167" s="12">
        <f t="shared" si="6"/>
        <v>43344</v>
      </c>
    </row>
    <row r="168" spans="1:15" x14ac:dyDescent="0.3">
      <c r="A168">
        <v>2018</v>
      </c>
      <c r="B168">
        <v>9</v>
      </c>
      <c r="C168" t="s">
        <v>10</v>
      </c>
      <c r="D168" t="s">
        <v>17</v>
      </c>
      <c r="E168">
        <v>11520</v>
      </c>
      <c r="F168" s="2">
        <v>73417</v>
      </c>
      <c r="G168" s="1">
        <v>845763840</v>
      </c>
      <c r="H168">
        <v>7.0000000000000001E-3</v>
      </c>
      <c r="I168">
        <v>15.16</v>
      </c>
      <c r="J168" s="3">
        <v>2.67</v>
      </c>
      <c r="M168" t="str">
        <f t="shared" si="7"/>
        <v>Low Growth</v>
      </c>
      <c r="N168" s="2">
        <f t="shared" si="8"/>
        <v>56325491359</v>
      </c>
      <c r="O168" s="12">
        <f t="shared" si="6"/>
        <v>43344</v>
      </c>
    </row>
    <row r="169" spans="1:15" x14ac:dyDescent="0.3">
      <c r="A169">
        <v>2018</v>
      </c>
      <c r="B169">
        <v>9</v>
      </c>
      <c r="C169" t="s">
        <v>10</v>
      </c>
      <c r="D169" t="s">
        <v>18</v>
      </c>
      <c r="E169">
        <v>9889</v>
      </c>
      <c r="F169" s="2">
        <v>43600</v>
      </c>
      <c r="G169" s="1">
        <v>431160400</v>
      </c>
      <c r="H169">
        <v>7.0000000000000001E-3</v>
      </c>
      <c r="I169">
        <v>15.16</v>
      </c>
      <c r="J169" s="3">
        <v>2.67</v>
      </c>
      <c r="M169" t="str">
        <f t="shared" si="7"/>
        <v>Low Growth</v>
      </c>
      <c r="N169" s="2">
        <f t="shared" si="8"/>
        <v>56325491359</v>
      </c>
      <c r="O169" s="12">
        <f t="shared" si="6"/>
        <v>43344</v>
      </c>
    </row>
    <row r="170" spans="1:15" x14ac:dyDescent="0.3">
      <c r="A170">
        <v>2018</v>
      </c>
      <c r="B170">
        <v>9</v>
      </c>
      <c r="C170" t="s">
        <v>19</v>
      </c>
      <c r="D170" t="s">
        <v>11</v>
      </c>
      <c r="E170">
        <v>4075</v>
      </c>
      <c r="F170" s="2">
        <v>46709</v>
      </c>
      <c r="G170" s="1">
        <v>190339175</v>
      </c>
      <c r="H170">
        <v>0.02</v>
      </c>
      <c r="I170">
        <v>20.39</v>
      </c>
      <c r="J170" s="3">
        <v>2.56</v>
      </c>
      <c r="M170" t="str">
        <f t="shared" si="7"/>
        <v>Low Growth</v>
      </c>
      <c r="N170" s="2">
        <f t="shared" si="8"/>
        <v>58905926051</v>
      </c>
      <c r="O170" s="12">
        <f t="shared" si="6"/>
        <v>43344</v>
      </c>
    </row>
    <row r="171" spans="1:15" x14ac:dyDescent="0.3">
      <c r="A171">
        <v>2018</v>
      </c>
      <c r="B171">
        <v>9</v>
      </c>
      <c r="C171" t="s">
        <v>19</v>
      </c>
      <c r="D171" t="s">
        <v>12</v>
      </c>
      <c r="E171">
        <v>6679</v>
      </c>
      <c r="F171" s="2">
        <v>61879</v>
      </c>
      <c r="G171" s="1">
        <v>413289841</v>
      </c>
      <c r="H171">
        <v>7.0000000000000001E-3</v>
      </c>
      <c r="I171">
        <v>20.39</v>
      </c>
      <c r="J171" s="3">
        <v>2.56</v>
      </c>
      <c r="M171" t="str">
        <f t="shared" si="7"/>
        <v>Low Growth</v>
      </c>
      <c r="N171" s="2">
        <f t="shared" si="8"/>
        <v>58905926051</v>
      </c>
      <c r="O171" s="12">
        <f t="shared" si="6"/>
        <v>43344</v>
      </c>
    </row>
    <row r="172" spans="1:15" x14ac:dyDescent="0.3">
      <c r="A172">
        <v>2018</v>
      </c>
      <c r="B172">
        <v>9</v>
      </c>
      <c r="C172" t="s">
        <v>19</v>
      </c>
      <c r="D172" t="s">
        <v>13</v>
      </c>
      <c r="E172">
        <v>9702</v>
      </c>
      <c r="F172" s="2">
        <v>58713</v>
      </c>
      <c r="G172" s="1">
        <v>569633526</v>
      </c>
      <c r="H172">
        <v>1.2999999999999999E-2</v>
      </c>
      <c r="I172">
        <v>20.39</v>
      </c>
      <c r="J172" s="3">
        <v>2.56</v>
      </c>
      <c r="M172" t="str">
        <f t="shared" si="7"/>
        <v>Low Growth</v>
      </c>
      <c r="N172" s="2">
        <f t="shared" si="8"/>
        <v>58905926051</v>
      </c>
      <c r="O172" s="12">
        <f t="shared" si="6"/>
        <v>43344</v>
      </c>
    </row>
    <row r="173" spans="1:15" x14ac:dyDescent="0.3">
      <c r="A173">
        <v>2018</v>
      </c>
      <c r="B173">
        <v>9</v>
      </c>
      <c r="C173" t="s">
        <v>19</v>
      </c>
      <c r="D173" t="s">
        <v>14</v>
      </c>
      <c r="E173">
        <v>8896</v>
      </c>
      <c r="F173" s="2">
        <v>70120</v>
      </c>
      <c r="G173" s="1">
        <v>623787520</v>
      </c>
      <c r="H173">
        <v>2.9000000000000001E-2</v>
      </c>
      <c r="I173">
        <v>20.39</v>
      </c>
      <c r="J173" s="3">
        <v>2.56</v>
      </c>
      <c r="M173" t="str">
        <f t="shared" si="7"/>
        <v>Low Growth</v>
      </c>
      <c r="N173" s="2">
        <f t="shared" si="8"/>
        <v>58905926051</v>
      </c>
      <c r="O173" s="12">
        <f t="shared" si="6"/>
        <v>43344</v>
      </c>
    </row>
    <row r="174" spans="1:15" x14ac:dyDescent="0.3">
      <c r="A174">
        <v>2018</v>
      </c>
      <c r="B174">
        <v>9</v>
      </c>
      <c r="C174" t="s">
        <v>19</v>
      </c>
      <c r="D174" t="s">
        <v>15</v>
      </c>
      <c r="E174">
        <v>3812</v>
      </c>
      <c r="F174" s="2">
        <v>90147</v>
      </c>
      <c r="G174" s="1">
        <v>343640364</v>
      </c>
      <c r="H174">
        <v>0.02</v>
      </c>
      <c r="I174">
        <v>20.39</v>
      </c>
      <c r="J174" s="3">
        <v>2.56</v>
      </c>
      <c r="M174" t="str">
        <f t="shared" si="7"/>
        <v>Low Growth</v>
      </c>
      <c r="N174" s="2">
        <f t="shared" si="8"/>
        <v>58905926051</v>
      </c>
      <c r="O174" s="12">
        <f t="shared" si="6"/>
        <v>43344</v>
      </c>
    </row>
    <row r="175" spans="1:15" x14ac:dyDescent="0.3">
      <c r="A175">
        <v>2018</v>
      </c>
      <c r="B175">
        <v>9</v>
      </c>
      <c r="C175" t="s">
        <v>19</v>
      </c>
      <c r="D175" t="s">
        <v>16</v>
      </c>
      <c r="E175">
        <v>6821</v>
      </c>
      <c r="F175" s="2">
        <v>63341</v>
      </c>
      <c r="G175" s="1">
        <v>432048961</v>
      </c>
      <c r="H175">
        <v>2.4E-2</v>
      </c>
      <c r="I175">
        <v>20.39</v>
      </c>
      <c r="J175" s="3">
        <v>2.56</v>
      </c>
      <c r="M175" t="str">
        <f t="shared" si="7"/>
        <v>Low Growth</v>
      </c>
      <c r="N175" s="2">
        <f t="shared" si="8"/>
        <v>58905926051</v>
      </c>
      <c r="O175" s="12">
        <f t="shared" si="6"/>
        <v>43344</v>
      </c>
    </row>
    <row r="176" spans="1:15" x14ac:dyDescent="0.3">
      <c r="A176">
        <v>2018</v>
      </c>
      <c r="B176">
        <v>9</v>
      </c>
      <c r="C176" t="s">
        <v>19</v>
      </c>
      <c r="D176" t="s">
        <v>17</v>
      </c>
      <c r="E176">
        <v>8450</v>
      </c>
      <c r="F176" s="2">
        <v>74792</v>
      </c>
      <c r="G176" s="1">
        <v>631992400</v>
      </c>
      <c r="H176">
        <v>0.02</v>
      </c>
      <c r="I176">
        <v>20.39</v>
      </c>
      <c r="J176" s="3">
        <v>2.56</v>
      </c>
      <c r="M176" t="str">
        <f t="shared" si="7"/>
        <v>Low Growth</v>
      </c>
      <c r="N176" s="2">
        <f t="shared" si="8"/>
        <v>58905926051</v>
      </c>
      <c r="O176" s="12">
        <f t="shared" si="6"/>
        <v>43344</v>
      </c>
    </row>
    <row r="177" spans="1:15" x14ac:dyDescent="0.3">
      <c r="A177">
        <v>2018</v>
      </c>
      <c r="B177">
        <v>9</v>
      </c>
      <c r="C177" t="s">
        <v>19</v>
      </c>
      <c r="D177" t="s">
        <v>18</v>
      </c>
      <c r="E177">
        <v>4684</v>
      </c>
      <c r="F177" s="2">
        <v>43212</v>
      </c>
      <c r="G177" s="1">
        <v>202405008</v>
      </c>
      <c r="H177">
        <v>2.1999999999999999E-2</v>
      </c>
      <c r="I177">
        <v>20.39</v>
      </c>
      <c r="J177" s="3">
        <v>2.56</v>
      </c>
      <c r="M177" t="str">
        <f t="shared" si="7"/>
        <v>Low Growth</v>
      </c>
      <c r="N177" s="2">
        <f t="shared" si="8"/>
        <v>58905926051</v>
      </c>
      <c r="O177" s="12">
        <f t="shared" si="6"/>
        <v>43344</v>
      </c>
    </row>
    <row r="178" spans="1:15" x14ac:dyDescent="0.3">
      <c r="A178">
        <v>2018</v>
      </c>
      <c r="B178">
        <v>9</v>
      </c>
      <c r="C178" t="s">
        <v>20</v>
      </c>
      <c r="D178" t="s">
        <v>11</v>
      </c>
      <c r="E178">
        <v>5036</v>
      </c>
      <c r="F178" s="2">
        <v>47500</v>
      </c>
      <c r="G178" s="1">
        <v>239210000</v>
      </c>
      <c r="H178">
        <v>4.2999999999999997E-2</v>
      </c>
      <c r="I178">
        <v>19.600000000000001</v>
      </c>
      <c r="J178" s="3">
        <v>1.64</v>
      </c>
      <c r="M178" t="str">
        <f t="shared" si="7"/>
        <v>High Growth</v>
      </c>
      <c r="N178" s="2">
        <f t="shared" si="8"/>
        <v>54599997295</v>
      </c>
      <c r="O178" s="12">
        <f t="shared" si="6"/>
        <v>43344</v>
      </c>
    </row>
    <row r="179" spans="1:15" x14ac:dyDescent="0.3">
      <c r="A179">
        <v>2018</v>
      </c>
      <c r="B179">
        <v>9</v>
      </c>
      <c r="C179" t="s">
        <v>20</v>
      </c>
      <c r="D179" t="s">
        <v>12</v>
      </c>
      <c r="E179">
        <v>12074</v>
      </c>
      <c r="F179" s="2">
        <v>63215</v>
      </c>
      <c r="G179" s="1">
        <v>763257910</v>
      </c>
      <c r="H179">
        <v>1.4E-2</v>
      </c>
      <c r="I179">
        <v>19.600000000000001</v>
      </c>
      <c r="J179" s="3">
        <v>1.64</v>
      </c>
      <c r="M179" t="str">
        <f t="shared" si="7"/>
        <v>Low Growth</v>
      </c>
      <c r="N179" s="2">
        <f t="shared" si="8"/>
        <v>54599997295</v>
      </c>
      <c r="O179" s="12">
        <f t="shared" si="6"/>
        <v>43344</v>
      </c>
    </row>
    <row r="180" spans="1:15" x14ac:dyDescent="0.3">
      <c r="A180">
        <v>2018</v>
      </c>
      <c r="B180">
        <v>9</v>
      </c>
      <c r="C180" t="s">
        <v>20</v>
      </c>
      <c r="D180" t="s">
        <v>13</v>
      </c>
      <c r="E180">
        <v>10654</v>
      </c>
      <c r="F180" s="2">
        <v>56987</v>
      </c>
      <c r="G180" s="1">
        <v>607139498</v>
      </c>
      <c r="H180">
        <v>3.4000000000000002E-2</v>
      </c>
      <c r="I180">
        <v>19.600000000000001</v>
      </c>
      <c r="J180" s="3">
        <v>1.64</v>
      </c>
      <c r="M180" t="str">
        <f t="shared" si="7"/>
        <v>High Growth</v>
      </c>
      <c r="N180" s="2">
        <f t="shared" si="8"/>
        <v>54599997295</v>
      </c>
      <c r="O180" s="12">
        <f t="shared" si="6"/>
        <v>43344</v>
      </c>
    </row>
    <row r="181" spans="1:15" x14ac:dyDescent="0.3">
      <c r="A181">
        <v>2018</v>
      </c>
      <c r="B181">
        <v>9</v>
      </c>
      <c r="C181" t="s">
        <v>20</v>
      </c>
      <c r="D181" t="s">
        <v>14</v>
      </c>
      <c r="E181">
        <v>8505</v>
      </c>
      <c r="F181" s="2">
        <v>69161</v>
      </c>
      <c r="G181" s="1">
        <v>588214305</v>
      </c>
      <c r="H181">
        <v>-7.0000000000000001E-3</v>
      </c>
      <c r="I181">
        <v>19.600000000000001</v>
      </c>
      <c r="J181" s="3">
        <v>1.64</v>
      </c>
      <c r="M181" t="str">
        <f t="shared" si="7"/>
        <v>Low Growth</v>
      </c>
      <c r="N181" s="2">
        <f t="shared" si="8"/>
        <v>54599997295</v>
      </c>
      <c r="O181" s="12">
        <f t="shared" si="6"/>
        <v>43344</v>
      </c>
    </row>
    <row r="182" spans="1:15" x14ac:dyDescent="0.3">
      <c r="A182">
        <v>2018</v>
      </c>
      <c r="B182">
        <v>9</v>
      </c>
      <c r="C182" t="s">
        <v>20</v>
      </c>
      <c r="D182" t="s">
        <v>15</v>
      </c>
      <c r="E182">
        <v>9126</v>
      </c>
      <c r="F182" s="2">
        <v>93335</v>
      </c>
      <c r="G182" s="1">
        <v>851775210</v>
      </c>
      <c r="H182">
        <v>1.6E-2</v>
      </c>
      <c r="I182">
        <v>19.600000000000001</v>
      </c>
      <c r="J182" s="3">
        <v>1.64</v>
      </c>
      <c r="M182" t="str">
        <f t="shared" si="7"/>
        <v>Low Growth</v>
      </c>
      <c r="N182" s="2">
        <f t="shared" si="8"/>
        <v>54599997295</v>
      </c>
      <c r="O182" s="12">
        <f t="shared" si="6"/>
        <v>43344</v>
      </c>
    </row>
    <row r="183" spans="1:15" x14ac:dyDescent="0.3">
      <c r="A183">
        <v>2018</v>
      </c>
      <c r="B183">
        <v>9</v>
      </c>
      <c r="C183" t="s">
        <v>20</v>
      </c>
      <c r="D183" t="s">
        <v>16</v>
      </c>
      <c r="E183">
        <v>11591</v>
      </c>
      <c r="F183" s="2">
        <v>66714</v>
      </c>
      <c r="G183" s="1">
        <v>773281974</v>
      </c>
      <c r="H183">
        <v>2.1999999999999999E-2</v>
      </c>
      <c r="I183">
        <v>19.600000000000001</v>
      </c>
      <c r="J183" s="3">
        <v>1.64</v>
      </c>
      <c r="M183" t="str">
        <f t="shared" si="7"/>
        <v>Low Growth</v>
      </c>
      <c r="N183" s="2">
        <f t="shared" si="8"/>
        <v>54599997295</v>
      </c>
      <c r="O183" s="12">
        <f t="shared" si="6"/>
        <v>43344</v>
      </c>
    </row>
    <row r="184" spans="1:15" x14ac:dyDescent="0.3">
      <c r="A184">
        <v>2018</v>
      </c>
      <c r="B184">
        <v>9</v>
      </c>
      <c r="C184" t="s">
        <v>20</v>
      </c>
      <c r="D184" t="s">
        <v>17</v>
      </c>
      <c r="E184">
        <v>8110</v>
      </c>
      <c r="F184" s="2">
        <v>76451</v>
      </c>
      <c r="G184" s="1">
        <v>620017610</v>
      </c>
      <c r="H184">
        <v>2.8000000000000001E-2</v>
      </c>
      <c r="I184">
        <v>19.600000000000001</v>
      </c>
      <c r="J184" s="3">
        <v>1.64</v>
      </c>
      <c r="M184" t="str">
        <f t="shared" si="7"/>
        <v>Low Growth</v>
      </c>
      <c r="N184" s="2">
        <f t="shared" si="8"/>
        <v>54599997295</v>
      </c>
      <c r="O184" s="12">
        <f t="shared" si="6"/>
        <v>43344</v>
      </c>
    </row>
    <row r="185" spans="1:15" x14ac:dyDescent="0.3">
      <c r="A185">
        <v>2018</v>
      </c>
      <c r="B185">
        <v>9</v>
      </c>
      <c r="C185" t="s">
        <v>20</v>
      </c>
      <c r="D185" t="s">
        <v>18</v>
      </c>
      <c r="E185">
        <v>2809</v>
      </c>
      <c r="F185" s="2">
        <v>43547</v>
      </c>
      <c r="G185" s="1">
        <v>122323523</v>
      </c>
      <c r="H185">
        <v>7.0000000000000001E-3</v>
      </c>
      <c r="I185">
        <v>19.600000000000001</v>
      </c>
      <c r="J185" s="3">
        <v>1.64</v>
      </c>
      <c r="M185" t="str">
        <f t="shared" si="7"/>
        <v>Low Growth</v>
      </c>
      <c r="N185" s="2">
        <f t="shared" si="8"/>
        <v>54599997295</v>
      </c>
      <c r="O185" s="12">
        <f t="shared" si="6"/>
        <v>43344</v>
      </c>
    </row>
    <row r="186" spans="1:15" x14ac:dyDescent="0.3">
      <c r="A186">
        <v>2018</v>
      </c>
      <c r="B186">
        <v>9</v>
      </c>
      <c r="C186" t="s">
        <v>21</v>
      </c>
      <c r="D186" t="s">
        <v>11</v>
      </c>
      <c r="E186">
        <v>12120</v>
      </c>
      <c r="F186" s="2">
        <v>48626</v>
      </c>
      <c r="G186" s="1">
        <v>589347120</v>
      </c>
      <c r="H186">
        <v>2.1000000000000001E-2</v>
      </c>
      <c r="I186">
        <v>5.51</v>
      </c>
      <c r="J186" s="3">
        <v>4.22</v>
      </c>
      <c r="M186" t="str">
        <f t="shared" si="7"/>
        <v>Low Growth</v>
      </c>
      <c r="N186" s="2">
        <f t="shared" si="8"/>
        <v>55528754190</v>
      </c>
      <c r="O186" s="12">
        <f t="shared" si="6"/>
        <v>43344</v>
      </c>
    </row>
    <row r="187" spans="1:15" x14ac:dyDescent="0.3">
      <c r="A187">
        <v>2018</v>
      </c>
      <c r="B187">
        <v>9</v>
      </c>
      <c r="C187" t="s">
        <v>21</v>
      </c>
      <c r="D187" t="s">
        <v>12</v>
      </c>
      <c r="E187">
        <v>10689</v>
      </c>
      <c r="F187" s="2">
        <v>63680</v>
      </c>
      <c r="G187" s="1">
        <v>680675520</v>
      </c>
      <c r="H187">
        <v>1.9E-2</v>
      </c>
      <c r="I187">
        <v>5.51</v>
      </c>
      <c r="J187" s="3">
        <v>4.22</v>
      </c>
      <c r="M187" t="str">
        <f t="shared" si="7"/>
        <v>Low Growth</v>
      </c>
      <c r="N187" s="2">
        <f t="shared" si="8"/>
        <v>55528754190</v>
      </c>
      <c r="O187" s="12">
        <f t="shared" si="6"/>
        <v>43344</v>
      </c>
    </row>
    <row r="188" spans="1:15" x14ac:dyDescent="0.3">
      <c r="A188">
        <v>2018</v>
      </c>
      <c r="B188">
        <v>9</v>
      </c>
      <c r="C188" t="s">
        <v>21</v>
      </c>
      <c r="D188" t="s">
        <v>13</v>
      </c>
      <c r="E188">
        <v>6792</v>
      </c>
      <c r="F188" s="2">
        <v>58143</v>
      </c>
      <c r="G188" s="1">
        <v>394907256</v>
      </c>
      <c r="H188">
        <v>1.6E-2</v>
      </c>
      <c r="I188">
        <v>5.51</v>
      </c>
      <c r="J188" s="3">
        <v>4.22</v>
      </c>
      <c r="M188" t="str">
        <f t="shared" si="7"/>
        <v>Low Growth</v>
      </c>
      <c r="N188" s="2">
        <f t="shared" si="8"/>
        <v>55528754190</v>
      </c>
      <c r="O188" s="12">
        <f t="shared" si="6"/>
        <v>43344</v>
      </c>
    </row>
    <row r="189" spans="1:15" x14ac:dyDescent="0.3">
      <c r="A189">
        <v>2018</v>
      </c>
      <c r="B189">
        <v>9</v>
      </c>
      <c r="C189" t="s">
        <v>21</v>
      </c>
      <c r="D189" t="s">
        <v>14</v>
      </c>
      <c r="E189">
        <v>8477</v>
      </c>
      <c r="F189" s="2">
        <v>70149</v>
      </c>
      <c r="G189" s="1">
        <v>594653073</v>
      </c>
      <c r="H189">
        <v>1.7999999999999999E-2</v>
      </c>
      <c r="I189">
        <v>5.51</v>
      </c>
      <c r="J189" s="3">
        <v>4.22</v>
      </c>
      <c r="M189" t="str">
        <f t="shared" si="7"/>
        <v>Low Growth</v>
      </c>
      <c r="N189" s="2">
        <f t="shared" si="8"/>
        <v>55528754190</v>
      </c>
      <c r="O189" s="12">
        <f t="shared" si="6"/>
        <v>43344</v>
      </c>
    </row>
    <row r="190" spans="1:15" x14ac:dyDescent="0.3">
      <c r="A190">
        <v>2018</v>
      </c>
      <c r="B190">
        <v>9</v>
      </c>
      <c r="C190" t="s">
        <v>21</v>
      </c>
      <c r="D190" t="s">
        <v>15</v>
      </c>
      <c r="E190">
        <v>5541</v>
      </c>
      <c r="F190" s="2">
        <v>90822</v>
      </c>
      <c r="G190" s="1">
        <v>503244702</v>
      </c>
      <c r="H190">
        <v>1.7000000000000001E-2</v>
      </c>
      <c r="I190">
        <v>5.51</v>
      </c>
      <c r="J190" s="3">
        <v>4.22</v>
      </c>
      <c r="M190" t="str">
        <f t="shared" si="7"/>
        <v>Low Growth</v>
      </c>
      <c r="N190" s="2">
        <f t="shared" si="8"/>
        <v>55528754190</v>
      </c>
      <c r="O190" s="12">
        <f t="shared" si="6"/>
        <v>43344</v>
      </c>
    </row>
    <row r="191" spans="1:15" x14ac:dyDescent="0.3">
      <c r="A191">
        <v>2018</v>
      </c>
      <c r="B191">
        <v>9</v>
      </c>
      <c r="C191" t="s">
        <v>21</v>
      </c>
      <c r="D191" t="s">
        <v>16</v>
      </c>
      <c r="E191">
        <v>3787</v>
      </c>
      <c r="F191" s="2">
        <v>65001</v>
      </c>
      <c r="G191" s="1">
        <v>246158787</v>
      </c>
      <c r="H191">
        <v>8.9999999999999993E-3</v>
      </c>
      <c r="I191">
        <v>5.51</v>
      </c>
      <c r="J191" s="3">
        <v>4.22</v>
      </c>
      <c r="M191" t="str">
        <f t="shared" si="7"/>
        <v>Low Growth</v>
      </c>
      <c r="N191" s="2">
        <f t="shared" si="8"/>
        <v>55528754190</v>
      </c>
      <c r="O191" s="12">
        <f t="shared" si="6"/>
        <v>43344</v>
      </c>
    </row>
    <row r="192" spans="1:15" x14ac:dyDescent="0.3">
      <c r="A192">
        <v>2018</v>
      </c>
      <c r="B192">
        <v>9</v>
      </c>
      <c r="C192" t="s">
        <v>21</v>
      </c>
      <c r="D192" t="s">
        <v>17</v>
      </c>
      <c r="E192">
        <v>9515</v>
      </c>
      <c r="F192" s="2">
        <v>76156</v>
      </c>
      <c r="G192" s="1">
        <v>724624340</v>
      </c>
      <c r="H192">
        <v>3.4000000000000002E-2</v>
      </c>
      <c r="I192">
        <v>5.51</v>
      </c>
      <c r="J192" s="3">
        <v>4.22</v>
      </c>
      <c r="M192" t="str">
        <f t="shared" si="7"/>
        <v>High Growth</v>
      </c>
      <c r="N192" s="2">
        <f t="shared" si="8"/>
        <v>55528754190</v>
      </c>
      <c r="O192" s="12">
        <f t="shared" si="6"/>
        <v>43344</v>
      </c>
    </row>
    <row r="193" spans="1:15" x14ac:dyDescent="0.3">
      <c r="A193">
        <v>2018</v>
      </c>
      <c r="B193">
        <v>9</v>
      </c>
      <c r="C193" t="s">
        <v>21</v>
      </c>
      <c r="D193" t="s">
        <v>18</v>
      </c>
      <c r="E193">
        <v>7416</v>
      </c>
      <c r="F193" s="2">
        <v>43695</v>
      </c>
      <c r="G193" s="1">
        <v>324042120</v>
      </c>
      <c r="H193">
        <v>2.8000000000000001E-2</v>
      </c>
      <c r="I193">
        <v>5.51</v>
      </c>
      <c r="J193" s="3">
        <v>4.22</v>
      </c>
      <c r="M193" t="str">
        <f t="shared" si="7"/>
        <v>Low Growth</v>
      </c>
      <c r="N193" s="2">
        <f t="shared" si="8"/>
        <v>55528754190</v>
      </c>
      <c r="O193" s="12">
        <f t="shared" si="6"/>
        <v>43344</v>
      </c>
    </row>
    <row r="194" spans="1:15" x14ac:dyDescent="0.3">
      <c r="A194">
        <v>2018</v>
      </c>
      <c r="B194">
        <v>10</v>
      </c>
      <c r="C194" t="s">
        <v>10</v>
      </c>
      <c r="D194" t="s">
        <v>11</v>
      </c>
      <c r="E194">
        <v>10644</v>
      </c>
      <c r="F194" s="2">
        <v>49594</v>
      </c>
      <c r="G194" s="1">
        <v>527878536</v>
      </c>
      <c r="H194">
        <v>2.1999999999999999E-2</v>
      </c>
      <c r="I194">
        <v>16.95</v>
      </c>
      <c r="J194" s="3">
        <v>3.33</v>
      </c>
      <c r="M194" t="str">
        <f t="shared" si="7"/>
        <v>Low Growth</v>
      </c>
      <c r="N194" s="2">
        <f t="shared" si="8"/>
        <v>56325491359</v>
      </c>
      <c r="O194" s="12">
        <f t="shared" ref="O194:O257" si="9">DATE(A194,B194,1)</f>
        <v>43374</v>
      </c>
    </row>
    <row r="195" spans="1:15" x14ac:dyDescent="0.3">
      <c r="A195">
        <v>2018</v>
      </c>
      <c r="B195">
        <v>10</v>
      </c>
      <c r="C195" t="s">
        <v>10</v>
      </c>
      <c r="D195" t="s">
        <v>12</v>
      </c>
      <c r="E195">
        <v>6973</v>
      </c>
      <c r="F195" s="2">
        <v>63070</v>
      </c>
      <c r="G195" s="1">
        <v>439787110</v>
      </c>
      <c r="H195">
        <v>2.7E-2</v>
      </c>
      <c r="I195">
        <v>16.95</v>
      </c>
      <c r="J195" s="3">
        <v>3.33</v>
      </c>
      <c r="M195" t="str">
        <f t="shared" ref="M195:M258" si="10">IF(H195&gt;0.03,"High Growth","Low Growth")</f>
        <v>Low Growth</v>
      </c>
      <c r="N195" s="2">
        <f t="shared" ref="N195:N258" si="11">SUMIF(C:C, C195, G:G)</f>
        <v>56325491359</v>
      </c>
      <c r="O195" s="12">
        <f t="shared" si="9"/>
        <v>43374</v>
      </c>
    </row>
    <row r="196" spans="1:15" x14ac:dyDescent="0.3">
      <c r="A196">
        <v>2018</v>
      </c>
      <c r="B196">
        <v>10</v>
      </c>
      <c r="C196" t="s">
        <v>10</v>
      </c>
      <c r="D196" t="s">
        <v>13</v>
      </c>
      <c r="E196">
        <v>3713</v>
      </c>
      <c r="F196" s="2">
        <v>57555</v>
      </c>
      <c r="G196" s="1">
        <v>213701715</v>
      </c>
      <c r="H196">
        <v>1.7000000000000001E-2</v>
      </c>
      <c r="I196">
        <v>16.95</v>
      </c>
      <c r="J196" s="3">
        <v>3.33</v>
      </c>
      <c r="M196" t="str">
        <f t="shared" si="10"/>
        <v>Low Growth</v>
      </c>
      <c r="N196" s="2">
        <f t="shared" si="11"/>
        <v>56325491359</v>
      </c>
      <c r="O196" s="12">
        <f t="shared" si="9"/>
        <v>43374</v>
      </c>
    </row>
    <row r="197" spans="1:15" x14ac:dyDescent="0.3">
      <c r="A197">
        <v>2018</v>
      </c>
      <c r="B197">
        <v>10</v>
      </c>
      <c r="C197" t="s">
        <v>10</v>
      </c>
      <c r="D197" t="s">
        <v>14</v>
      </c>
      <c r="E197">
        <v>3138</v>
      </c>
      <c r="F197" s="2">
        <v>67933</v>
      </c>
      <c r="G197" s="1">
        <v>213173754</v>
      </c>
      <c r="H197">
        <v>1.9E-2</v>
      </c>
      <c r="I197">
        <v>16.95</v>
      </c>
      <c r="J197" s="3">
        <v>3.33</v>
      </c>
      <c r="M197" t="str">
        <f t="shared" si="10"/>
        <v>Low Growth</v>
      </c>
      <c r="N197" s="2">
        <f t="shared" si="11"/>
        <v>56325491359</v>
      </c>
      <c r="O197" s="12">
        <f t="shared" si="9"/>
        <v>43374</v>
      </c>
    </row>
    <row r="198" spans="1:15" x14ac:dyDescent="0.3">
      <c r="A198">
        <v>2018</v>
      </c>
      <c r="B198">
        <v>10</v>
      </c>
      <c r="C198" t="s">
        <v>10</v>
      </c>
      <c r="D198" t="s">
        <v>15</v>
      </c>
      <c r="E198">
        <v>3590</v>
      </c>
      <c r="F198" s="2">
        <v>92987</v>
      </c>
      <c r="G198" s="1">
        <v>333823330</v>
      </c>
      <c r="H198">
        <v>-1E-3</v>
      </c>
      <c r="I198">
        <v>16.95</v>
      </c>
      <c r="J198" s="3">
        <v>3.33</v>
      </c>
      <c r="M198" t="str">
        <f t="shared" si="10"/>
        <v>Low Growth</v>
      </c>
      <c r="N198" s="2">
        <f t="shared" si="11"/>
        <v>56325491359</v>
      </c>
      <c r="O198" s="12">
        <f t="shared" si="9"/>
        <v>43374</v>
      </c>
    </row>
    <row r="199" spans="1:15" x14ac:dyDescent="0.3">
      <c r="A199">
        <v>2018</v>
      </c>
      <c r="B199">
        <v>10</v>
      </c>
      <c r="C199" t="s">
        <v>10</v>
      </c>
      <c r="D199" t="s">
        <v>16</v>
      </c>
      <c r="E199">
        <v>8061</v>
      </c>
      <c r="F199" s="2">
        <v>64523</v>
      </c>
      <c r="G199" s="1">
        <v>520119903</v>
      </c>
      <c r="H199">
        <v>3.6999999999999998E-2</v>
      </c>
      <c r="I199">
        <v>16.95</v>
      </c>
      <c r="J199" s="3">
        <v>3.33</v>
      </c>
      <c r="M199" t="str">
        <f t="shared" si="10"/>
        <v>High Growth</v>
      </c>
      <c r="N199" s="2">
        <f t="shared" si="11"/>
        <v>56325491359</v>
      </c>
      <c r="O199" s="12">
        <f t="shared" si="9"/>
        <v>43374</v>
      </c>
    </row>
    <row r="200" spans="1:15" x14ac:dyDescent="0.3">
      <c r="A200">
        <v>2018</v>
      </c>
      <c r="B200">
        <v>10</v>
      </c>
      <c r="C200" t="s">
        <v>10</v>
      </c>
      <c r="D200" t="s">
        <v>17</v>
      </c>
      <c r="E200">
        <v>3692</v>
      </c>
      <c r="F200" s="2">
        <v>73127</v>
      </c>
      <c r="G200" s="1">
        <v>269984884</v>
      </c>
      <c r="H200">
        <v>0.03</v>
      </c>
      <c r="I200">
        <v>16.95</v>
      </c>
      <c r="J200" s="3">
        <v>3.33</v>
      </c>
      <c r="M200" t="str">
        <f t="shared" si="10"/>
        <v>Low Growth</v>
      </c>
      <c r="N200" s="2">
        <f t="shared" si="11"/>
        <v>56325491359</v>
      </c>
      <c r="O200" s="12">
        <f t="shared" si="9"/>
        <v>43374</v>
      </c>
    </row>
    <row r="201" spans="1:15" x14ac:dyDescent="0.3">
      <c r="A201">
        <v>2018</v>
      </c>
      <c r="B201">
        <v>10</v>
      </c>
      <c r="C201" t="s">
        <v>10</v>
      </c>
      <c r="D201" t="s">
        <v>18</v>
      </c>
      <c r="E201">
        <v>6964</v>
      </c>
      <c r="F201" s="2">
        <v>42768</v>
      </c>
      <c r="G201" s="1">
        <v>297836352</v>
      </c>
      <c r="H201">
        <v>0.02</v>
      </c>
      <c r="I201">
        <v>16.95</v>
      </c>
      <c r="J201" s="3">
        <v>3.33</v>
      </c>
      <c r="M201" t="str">
        <f t="shared" si="10"/>
        <v>Low Growth</v>
      </c>
      <c r="N201" s="2">
        <f t="shared" si="11"/>
        <v>56325491359</v>
      </c>
      <c r="O201" s="12">
        <f t="shared" si="9"/>
        <v>43374</v>
      </c>
    </row>
    <row r="202" spans="1:15" x14ac:dyDescent="0.3">
      <c r="A202">
        <v>2018</v>
      </c>
      <c r="B202">
        <v>10</v>
      </c>
      <c r="C202" t="s">
        <v>19</v>
      </c>
      <c r="D202" t="s">
        <v>11</v>
      </c>
      <c r="E202">
        <v>6206</v>
      </c>
      <c r="F202" s="2">
        <v>47781</v>
      </c>
      <c r="G202" s="1">
        <v>296528886</v>
      </c>
      <c r="H202">
        <v>7.0000000000000001E-3</v>
      </c>
      <c r="I202">
        <v>19.190000000000001</v>
      </c>
      <c r="J202" s="3">
        <v>5.28</v>
      </c>
      <c r="M202" t="str">
        <f t="shared" si="10"/>
        <v>Low Growth</v>
      </c>
      <c r="N202" s="2">
        <f t="shared" si="11"/>
        <v>58905926051</v>
      </c>
      <c r="O202" s="12">
        <f t="shared" si="9"/>
        <v>43374</v>
      </c>
    </row>
    <row r="203" spans="1:15" x14ac:dyDescent="0.3">
      <c r="A203">
        <v>2018</v>
      </c>
      <c r="B203">
        <v>10</v>
      </c>
      <c r="C203" t="s">
        <v>19</v>
      </c>
      <c r="D203" t="s">
        <v>12</v>
      </c>
      <c r="E203">
        <v>3610</v>
      </c>
      <c r="F203" s="2">
        <v>63306</v>
      </c>
      <c r="G203" s="1">
        <v>228534660</v>
      </c>
      <c r="H203">
        <v>2.7E-2</v>
      </c>
      <c r="I203">
        <v>19.190000000000001</v>
      </c>
      <c r="J203" s="3">
        <v>5.28</v>
      </c>
      <c r="M203" t="str">
        <f t="shared" si="10"/>
        <v>Low Growth</v>
      </c>
      <c r="N203" s="2">
        <f t="shared" si="11"/>
        <v>58905926051</v>
      </c>
      <c r="O203" s="12">
        <f t="shared" si="9"/>
        <v>43374</v>
      </c>
    </row>
    <row r="204" spans="1:15" x14ac:dyDescent="0.3">
      <c r="A204">
        <v>2018</v>
      </c>
      <c r="B204">
        <v>10</v>
      </c>
      <c r="C204" t="s">
        <v>19</v>
      </c>
      <c r="D204" t="s">
        <v>13</v>
      </c>
      <c r="E204">
        <v>4788</v>
      </c>
      <c r="F204" s="2">
        <v>59180</v>
      </c>
      <c r="G204" s="1">
        <v>283353840</v>
      </c>
      <c r="H204">
        <v>0.02</v>
      </c>
      <c r="I204">
        <v>19.190000000000001</v>
      </c>
      <c r="J204" s="3">
        <v>5.28</v>
      </c>
      <c r="M204" t="str">
        <f t="shared" si="10"/>
        <v>Low Growth</v>
      </c>
      <c r="N204" s="2">
        <f t="shared" si="11"/>
        <v>58905926051</v>
      </c>
      <c r="O204" s="12">
        <f t="shared" si="9"/>
        <v>43374</v>
      </c>
    </row>
    <row r="205" spans="1:15" x14ac:dyDescent="0.3">
      <c r="A205">
        <v>2018</v>
      </c>
      <c r="B205">
        <v>10</v>
      </c>
      <c r="C205" t="s">
        <v>19</v>
      </c>
      <c r="D205" t="s">
        <v>14</v>
      </c>
      <c r="E205">
        <v>10921</v>
      </c>
      <c r="F205" s="2">
        <v>67074</v>
      </c>
      <c r="G205" s="1">
        <v>732515154</v>
      </c>
      <c r="H205">
        <v>2.3E-2</v>
      </c>
      <c r="I205">
        <v>19.190000000000001</v>
      </c>
      <c r="J205" s="3">
        <v>5.28</v>
      </c>
      <c r="M205" t="str">
        <f t="shared" si="10"/>
        <v>Low Growth</v>
      </c>
      <c r="N205" s="2">
        <f t="shared" si="11"/>
        <v>58905926051</v>
      </c>
      <c r="O205" s="12">
        <f t="shared" si="9"/>
        <v>43374</v>
      </c>
    </row>
    <row r="206" spans="1:15" x14ac:dyDescent="0.3">
      <c r="A206">
        <v>2018</v>
      </c>
      <c r="B206">
        <v>10</v>
      </c>
      <c r="C206" t="s">
        <v>19</v>
      </c>
      <c r="D206" t="s">
        <v>15</v>
      </c>
      <c r="E206">
        <v>9006</v>
      </c>
      <c r="F206" s="2">
        <v>93088</v>
      </c>
      <c r="G206" s="1">
        <v>838350528</v>
      </c>
      <c r="H206">
        <v>4.0000000000000001E-3</v>
      </c>
      <c r="I206">
        <v>19.190000000000001</v>
      </c>
      <c r="J206" s="3">
        <v>5.28</v>
      </c>
      <c r="M206" t="str">
        <f t="shared" si="10"/>
        <v>Low Growth</v>
      </c>
      <c r="N206" s="2">
        <f t="shared" si="11"/>
        <v>58905926051</v>
      </c>
      <c r="O206" s="12">
        <f t="shared" si="9"/>
        <v>43374</v>
      </c>
    </row>
    <row r="207" spans="1:15" x14ac:dyDescent="0.3">
      <c r="A207">
        <v>2018</v>
      </c>
      <c r="B207">
        <v>10</v>
      </c>
      <c r="C207" t="s">
        <v>19</v>
      </c>
      <c r="D207" t="s">
        <v>16</v>
      </c>
      <c r="E207">
        <v>7881</v>
      </c>
      <c r="F207" s="2">
        <v>66224</v>
      </c>
      <c r="G207" s="1">
        <v>521911344</v>
      </c>
      <c r="H207">
        <v>2.5999999999999999E-2</v>
      </c>
      <c r="I207">
        <v>19.190000000000001</v>
      </c>
      <c r="J207" s="3">
        <v>5.28</v>
      </c>
      <c r="M207" t="str">
        <f t="shared" si="10"/>
        <v>Low Growth</v>
      </c>
      <c r="N207" s="2">
        <f t="shared" si="11"/>
        <v>58905926051</v>
      </c>
      <c r="O207" s="12">
        <f t="shared" si="9"/>
        <v>43374</v>
      </c>
    </row>
    <row r="208" spans="1:15" x14ac:dyDescent="0.3">
      <c r="A208">
        <v>2018</v>
      </c>
      <c r="B208">
        <v>10</v>
      </c>
      <c r="C208" t="s">
        <v>19</v>
      </c>
      <c r="D208" t="s">
        <v>17</v>
      </c>
      <c r="E208">
        <v>9158</v>
      </c>
      <c r="F208" s="2">
        <v>76945</v>
      </c>
      <c r="G208" s="1">
        <v>704662310</v>
      </c>
      <c r="H208">
        <v>1.4999999999999999E-2</v>
      </c>
      <c r="I208">
        <v>19.190000000000001</v>
      </c>
      <c r="J208" s="3">
        <v>5.28</v>
      </c>
      <c r="M208" t="str">
        <f t="shared" si="10"/>
        <v>Low Growth</v>
      </c>
      <c r="N208" s="2">
        <f t="shared" si="11"/>
        <v>58905926051</v>
      </c>
      <c r="O208" s="12">
        <f t="shared" si="9"/>
        <v>43374</v>
      </c>
    </row>
    <row r="209" spans="1:15" x14ac:dyDescent="0.3">
      <c r="A209">
        <v>2018</v>
      </c>
      <c r="B209">
        <v>10</v>
      </c>
      <c r="C209" t="s">
        <v>19</v>
      </c>
      <c r="D209" t="s">
        <v>18</v>
      </c>
      <c r="E209">
        <v>2698</v>
      </c>
      <c r="F209" s="2">
        <v>42074</v>
      </c>
      <c r="G209" s="1">
        <v>113515652</v>
      </c>
      <c r="H209">
        <v>2.5000000000000001E-2</v>
      </c>
      <c r="I209">
        <v>19.190000000000001</v>
      </c>
      <c r="J209" s="3">
        <v>5.28</v>
      </c>
      <c r="M209" t="str">
        <f t="shared" si="10"/>
        <v>Low Growth</v>
      </c>
      <c r="N209" s="2">
        <f t="shared" si="11"/>
        <v>58905926051</v>
      </c>
      <c r="O209" s="12">
        <f t="shared" si="9"/>
        <v>43374</v>
      </c>
    </row>
    <row r="210" spans="1:15" x14ac:dyDescent="0.3">
      <c r="A210">
        <v>2018</v>
      </c>
      <c r="B210">
        <v>10</v>
      </c>
      <c r="C210" t="s">
        <v>20</v>
      </c>
      <c r="D210" t="s">
        <v>11</v>
      </c>
      <c r="E210">
        <v>10588</v>
      </c>
      <c r="F210" s="2">
        <v>49028</v>
      </c>
      <c r="G210" s="1">
        <v>519108464</v>
      </c>
      <c r="H210">
        <v>3.2000000000000001E-2</v>
      </c>
      <c r="I210">
        <v>18.66</v>
      </c>
      <c r="J210" s="3">
        <v>4.62</v>
      </c>
      <c r="M210" t="str">
        <f t="shared" si="10"/>
        <v>High Growth</v>
      </c>
      <c r="N210" s="2">
        <f t="shared" si="11"/>
        <v>54599997295</v>
      </c>
      <c r="O210" s="12">
        <f t="shared" si="9"/>
        <v>43374</v>
      </c>
    </row>
    <row r="211" spans="1:15" x14ac:dyDescent="0.3">
      <c r="A211">
        <v>2018</v>
      </c>
      <c r="B211">
        <v>10</v>
      </c>
      <c r="C211" t="s">
        <v>20</v>
      </c>
      <c r="D211" t="s">
        <v>12</v>
      </c>
      <c r="E211">
        <v>9635</v>
      </c>
      <c r="F211" s="2">
        <v>60701</v>
      </c>
      <c r="G211" s="1">
        <v>584854135</v>
      </c>
      <c r="H211">
        <v>2.3E-2</v>
      </c>
      <c r="I211">
        <v>18.66</v>
      </c>
      <c r="J211" s="3">
        <v>4.62</v>
      </c>
      <c r="M211" t="str">
        <f t="shared" si="10"/>
        <v>Low Growth</v>
      </c>
      <c r="N211" s="2">
        <f t="shared" si="11"/>
        <v>54599997295</v>
      </c>
      <c r="O211" s="12">
        <f t="shared" si="9"/>
        <v>43374</v>
      </c>
    </row>
    <row r="212" spans="1:15" x14ac:dyDescent="0.3">
      <c r="A212">
        <v>2018</v>
      </c>
      <c r="B212">
        <v>10</v>
      </c>
      <c r="C212" t="s">
        <v>20</v>
      </c>
      <c r="D212" t="s">
        <v>13</v>
      </c>
      <c r="E212">
        <v>4921</v>
      </c>
      <c r="F212" s="2">
        <v>57845</v>
      </c>
      <c r="G212" s="1">
        <v>284655245</v>
      </c>
      <c r="H212">
        <v>1E-3</v>
      </c>
      <c r="I212">
        <v>18.66</v>
      </c>
      <c r="J212" s="3">
        <v>4.62</v>
      </c>
      <c r="M212" t="str">
        <f t="shared" si="10"/>
        <v>Low Growth</v>
      </c>
      <c r="N212" s="2">
        <f t="shared" si="11"/>
        <v>54599997295</v>
      </c>
      <c r="O212" s="12">
        <f t="shared" si="9"/>
        <v>43374</v>
      </c>
    </row>
    <row r="213" spans="1:15" x14ac:dyDescent="0.3">
      <c r="A213">
        <v>2018</v>
      </c>
      <c r="B213">
        <v>10</v>
      </c>
      <c r="C213" t="s">
        <v>20</v>
      </c>
      <c r="D213" t="s">
        <v>14</v>
      </c>
      <c r="E213">
        <v>3691</v>
      </c>
      <c r="F213" s="2">
        <v>70776</v>
      </c>
      <c r="G213" s="1">
        <v>261234216</v>
      </c>
      <c r="H213">
        <v>0.01</v>
      </c>
      <c r="I213">
        <v>18.66</v>
      </c>
      <c r="J213" s="3">
        <v>4.62</v>
      </c>
      <c r="M213" t="str">
        <f t="shared" si="10"/>
        <v>Low Growth</v>
      </c>
      <c r="N213" s="2">
        <f t="shared" si="11"/>
        <v>54599997295</v>
      </c>
      <c r="O213" s="12">
        <f t="shared" si="9"/>
        <v>43374</v>
      </c>
    </row>
    <row r="214" spans="1:15" x14ac:dyDescent="0.3">
      <c r="A214">
        <v>2018</v>
      </c>
      <c r="B214">
        <v>10</v>
      </c>
      <c r="C214" t="s">
        <v>20</v>
      </c>
      <c r="D214" t="s">
        <v>15</v>
      </c>
      <c r="E214">
        <v>5097</v>
      </c>
      <c r="F214" s="2">
        <v>90028</v>
      </c>
      <c r="G214" s="1">
        <v>458872716</v>
      </c>
      <c r="H214">
        <v>2.1000000000000001E-2</v>
      </c>
      <c r="I214">
        <v>18.66</v>
      </c>
      <c r="J214" s="3">
        <v>4.62</v>
      </c>
      <c r="M214" t="str">
        <f t="shared" si="10"/>
        <v>Low Growth</v>
      </c>
      <c r="N214" s="2">
        <f t="shared" si="11"/>
        <v>54599997295</v>
      </c>
      <c r="O214" s="12">
        <f t="shared" si="9"/>
        <v>43374</v>
      </c>
    </row>
    <row r="215" spans="1:15" x14ac:dyDescent="0.3">
      <c r="A215">
        <v>2018</v>
      </c>
      <c r="B215">
        <v>10</v>
      </c>
      <c r="C215" t="s">
        <v>20</v>
      </c>
      <c r="D215" t="s">
        <v>16</v>
      </c>
      <c r="E215">
        <v>10298</v>
      </c>
      <c r="F215" s="2">
        <v>66850</v>
      </c>
      <c r="G215" s="1">
        <v>688421300</v>
      </c>
      <c r="H215">
        <v>1.7999999999999999E-2</v>
      </c>
      <c r="I215">
        <v>18.66</v>
      </c>
      <c r="J215" s="3">
        <v>4.62</v>
      </c>
      <c r="M215" t="str">
        <f t="shared" si="10"/>
        <v>Low Growth</v>
      </c>
      <c r="N215" s="2">
        <f t="shared" si="11"/>
        <v>54599997295</v>
      </c>
      <c r="O215" s="12">
        <f t="shared" si="9"/>
        <v>43374</v>
      </c>
    </row>
    <row r="216" spans="1:15" x14ac:dyDescent="0.3">
      <c r="A216">
        <v>2018</v>
      </c>
      <c r="B216">
        <v>10</v>
      </c>
      <c r="C216" t="s">
        <v>20</v>
      </c>
      <c r="D216" t="s">
        <v>17</v>
      </c>
      <c r="E216">
        <v>7519</v>
      </c>
      <c r="F216" s="2">
        <v>73186</v>
      </c>
      <c r="G216" s="1">
        <v>550285534</v>
      </c>
      <c r="H216">
        <v>2.8000000000000001E-2</v>
      </c>
      <c r="I216">
        <v>18.66</v>
      </c>
      <c r="J216" s="3">
        <v>4.62</v>
      </c>
      <c r="M216" t="str">
        <f t="shared" si="10"/>
        <v>Low Growth</v>
      </c>
      <c r="N216" s="2">
        <f t="shared" si="11"/>
        <v>54599997295</v>
      </c>
      <c r="O216" s="12">
        <f t="shared" si="9"/>
        <v>43374</v>
      </c>
    </row>
    <row r="217" spans="1:15" x14ac:dyDescent="0.3">
      <c r="A217">
        <v>2018</v>
      </c>
      <c r="B217">
        <v>10</v>
      </c>
      <c r="C217" t="s">
        <v>20</v>
      </c>
      <c r="D217" t="s">
        <v>18</v>
      </c>
      <c r="E217">
        <v>11344</v>
      </c>
      <c r="F217" s="2">
        <v>41333</v>
      </c>
      <c r="G217" s="1">
        <v>468881552</v>
      </c>
      <c r="H217">
        <v>1.9E-2</v>
      </c>
      <c r="I217">
        <v>18.66</v>
      </c>
      <c r="J217" s="3">
        <v>4.62</v>
      </c>
      <c r="M217" t="str">
        <f t="shared" si="10"/>
        <v>Low Growth</v>
      </c>
      <c r="N217" s="2">
        <f t="shared" si="11"/>
        <v>54599997295</v>
      </c>
      <c r="O217" s="12">
        <f t="shared" si="9"/>
        <v>43374</v>
      </c>
    </row>
    <row r="218" spans="1:15" x14ac:dyDescent="0.3">
      <c r="A218">
        <v>2018</v>
      </c>
      <c r="B218">
        <v>10</v>
      </c>
      <c r="C218" t="s">
        <v>21</v>
      </c>
      <c r="D218" t="s">
        <v>11</v>
      </c>
      <c r="E218">
        <v>8276</v>
      </c>
      <c r="F218" s="2">
        <v>46750</v>
      </c>
      <c r="G218" s="1">
        <v>386903000</v>
      </c>
      <c r="H218">
        <v>2E-3</v>
      </c>
      <c r="I218">
        <v>6.87</v>
      </c>
      <c r="J218" s="3">
        <v>5.08</v>
      </c>
      <c r="M218" t="str">
        <f t="shared" si="10"/>
        <v>Low Growth</v>
      </c>
      <c r="N218" s="2">
        <f t="shared" si="11"/>
        <v>55528754190</v>
      </c>
      <c r="O218" s="12">
        <f t="shared" si="9"/>
        <v>43374</v>
      </c>
    </row>
    <row r="219" spans="1:15" x14ac:dyDescent="0.3">
      <c r="A219">
        <v>2018</v>
      </c>
      <c r="B219">
        <v>10</v>
      </c>
      <c r="C219" t="s">
        <v>21</v>
      </c>
      <c r="D219" t="s">
        <v>12</v>
      </c>
      <c r="E219">
        <v>4048</v>
      </c>
      <c r="F219" s="2">
        <v>63315</v>
      </c>
      <c r="G219" s="1">
        <v>256299120</v>
      </c>
      <c r="H219">
        <v>1.9E-2</v>
      </c>
      <c r="I219">
        <v>6.87</v>
      </c>
      <c r="J219" s="3">
        <v>5.08</v>
      </c>
      <c r="M219" t="str">
        <f t="shared" si="10"/>
        <v>Low Growth</v>
      </c>
      <c r="N219" s="2">
        <f t="shared" si="11"/>
        <v>55528754190</v>
      </c>
      <c r="O219" s="12">
        <f t="shared" si="9"/>
        <v>43374</v>
      </c>
    </row>
    <row r="220" spans="1:15" x14ac:dyDescent="0.3">
      <c r="A220">
        <v>2018</v>
      </c>
      <c r="B220">
        <v>10</v>
      </c>
      <c r="C220" t="s">
        <v>21</v>
      </c>
      <c r="D220" t="s">
        <v>13</v>
      </c>
      <c r="E220">
        <v>9120</v>
      </c>
      <c r="F220" s="2">
        <v>58120</v>
      </c>
      <c r="G220" s="1">
        <v>530054400</v>
      </c>
      <c r="H220">
        <v>1.4999999999999999E-2</v>
      </c>
      <c r="I220">
        <v>6.87</v>
      </c>
      <c r="J220" s="3">
        <v>5.08</v>
      </c>
      <c r="M220" t="str">
        <f t="shared" si="10"/>
        <v>Low Growth</v>
      </c>
      <c r="N220" s="2">
        <f t="shared" si="11"/>
        <v>55528754190</v>
      </c>
      <c r="O220" s="12">
        <f t="shared" si="9"/>
        <v>43374</v>
      </c>
    </row>
    <row r="221" spans="1:15" x14ac:dyDescent="0.3">
      <c r="A221">
        <v>2018</v>
      </c>
      <c r="B221">
        <v>10</v>
      </c>
      <c r="C221" t="s">
        <v>21</v>
      </c>
      <c r="D221" t="s">
        <v>14</v>
      </c>
      <c r="E221">
        <v>4600</v>
      </c>
      <c r="F221" s="2">
        <v>68040</v>
      </c>
      <c r="G221" s="1">
        <v>312984000</v>
      </c>
      <c r="H221">
        <v>4.2999999999999997E-2</v>
      </c>
      <c r="I221">
        <v>6.87</v>
      </c>
      <c r="J221" s="3">
        <v>5.08</v>
      </c>
      <c r="M221" t="str">
        <f t="shared" si="10"/>
        <v>High Growth</v>
      </c>
      <c r="N221" s="2">
        <f t="shared" si="11"/>
        <v>55528754190</v>
      </c>
      <c r="O221" s="12">
        <f t="shared" si="9"/>
        <v>43374</v>
      </c>
    </row>
    <row r="222" spans="1:15" x14ac:dyDescent="0.3">
      <c r="A222">
        <v>2018</v>
      </c>
      <c r="B222">
        <v>10</v>
      </c>
      <c r="C222" t="s">
        <v>21</v>
      </c>
      <c r="D222" t="s">
        <v>15</v>
      </c>
      <c r="E222">
        <v>7847</v>
      </c>
      <c r="F222" s="2">
        <v>92089</v>
      </c>
      <c r="G222" s="1">
        <v>722622383</v>
      </c>
      <c r="H222">
        <v>0.04</v>
      </c>
      <c r="I222">
        <v>6.87</v>
      </c>
      <c r="J222" s="3">
        <v>5.08</v>
      </c>
      <c r="M222" t="str">
        <f t="shared" si="10"/>
        <v>High Growth</v>
      </c>
      <c r="N222" s="2">
        <f t="shared" si="11"/>
        <v>55528754190</v>
      </c>
      <c r="O222" s="12">
        <f t="shared" si="9"/>
        <v>43374</v>
      </c>
    </row>
    <row r="223" spans="1:15" x14ac:dyDescent="0.3">
      <c r="A223">
        <v>2018</v>
      </c>
      <c r="B223">
        <v>10</v>
      </c>
      <c r="C223" t="s">
        <v>21</v>
      </c>
      <c r="D223" t="s">
        <v>16</v>
      </c>
      <c r="E223">
        <v>9946</v>
      </c>
      <c r="F223" s="2">
        <v>63130</v>
      </c>
      <c r="G223" s="1">
        <v>627890980</v>
      </c>
      <c r="H223">
        <v>0.02</v>
      </c>
      <c r="I223">
        <v>6.87</v>
      </c>
      <c r="J223" s="3">
        <v>5.08</v>
      </c>
      <c r="M223" t="str">
        <f t="shared" si="10"/>
        <v>Low Growth</v>
      </c>
      <c r="N223" s="2">
        <f t="shared" si="11"/>
        <v>55528754190</v>
      </c>
      <c r="O223" s="12">
        <f t="shared" si="9"/>
        <v>43374</v>
      </c>
    </row>
    <row r="224" spans="1:15" x14ac:dyDescent="0.3">
      <c r="A224">
        <v>2018</v>
      </c>
      <c r="B224">
        <v>10</v>
      </c>
      <c r="C224" t="s">
        <v>21</v>
      </c>
      <c r="D224" t="s">
        <v>17</v>
      </c>
      <c r="E224">
        <v>3564</v>
      </c>
      <c r="F224" s="2">
        <v>75864</v>
      </c>
      <c r="G224" s="1">
        <v>270379296</v>
      </c>
      <c r="H224">
        <v>0.03</v>
      </c>
      <c r="I224">
        <v>6.87</v>
      </c>
      <c r="J224" s="3">
        <v>5.08</v>
      </c>
      <c r="M224" t="str">
        <f t="shared" si="10"/>
        <v>Low Growth</v>
      </c>
      <c r="N224" s="2">
        <f t="shared" si="11"/>
        <v>55528754190</v>
      </c>
      <c r="O224" s="12">
        <f t="shared" si="9"/>
        <v>43374</v>
      </c>
    </row>
    <row r="225" spans="1:15" x14ac:dyDescent="0.3">
      <c r="A225">
        <v>2018</v>
      </c>
      <c r="B225">
        <v>10</v>
      </c>
      <c r="C225" t="s">
        <v>21</v>
      </c>
      <c r="D225" t="s">
        <v>18</v>
      </c>
      <c r="E225">
        <v>5228</v>
      </c>
      <c r="F225" s="2">
        <v>41040</v>
      </c>
      <c r="G225" s="1">
        <v>214557120</v>
      </c>
      <c r="H225">
        <v>1.4E-2</v>
      </c>
      <c r="I225">
        <v>6.87</v>
      </c>
      <c r="J225" s="3">
        <v>5.08</v>
      </c>
      <c r="M225" t="str">
        <f t="shared" si="10"/>
        <v>Low Growth</v>
      </c>
      <c r="N225" s="2">
        <f t="shared" si="11"/>
        <v>55528754190</v>
      </c>
      <c r="O225" s="12">
        <f t="shared" si="9"/>
        <v>43374</v>
      </c>
    </row>
    <row r="226" spans="1:15" x14ac:dyDescent="0.3">
      <c r="A226">
        <v>2018</v>
      </c>
      <c r="B226">
        <v>11</v>
      </c>
      <c r="C226" t="s">
        <v>10</v>
      </c>
      <c r="D226" t="s">
        <v>11</v>
      </c>
      <c r="E226">
        <v>3648</v>
      </c>
      <c r="F226" s="2">
        <v>47508</v>
      </c>
      <c r="G226" s="1">
        <v>173309184</v>
      </c>
      <c r="H226">
        <v>3.3000000000000002E-2</v>
      </c>
      <c r="I226">
        <v>15.3</v>
      </c>
      <c r="J226" s="3">
        <v>2.93</v>
      </c>
      <c r="M226" t="str">
        <f t="shared" si="10"/>
        <v>High Growth</v>
      </c>
      <c r="N226" s="2">
        <f t="shared" si="11"/>
        <v>56325491359</v>
      </c>
      <c r="O226" s="12">
        <f t="shared" si="9"/>
        <v>43405</v>
      </c>
    </row>
    <row r="227" spans="1:15" x14ac:dyDescent="0.3">
      <c r="A227">
        <v>2018</v>
      </c>
      <c r="B227">
        <v>11</v>
      </c>
      <c r="C227" t="s">
        <v>10</v>
      </c>
      <c r="D227" t="s">
        <v>12</v>
      </c>
      <c r="E227">
        <v>4674</v>
      </c>
      <c r="F227" s="2">
        <v>63023</v>
      </c>
      <c r="G227" s="1">
        <v>294569502</v>
      </c>
      <c r="H227">
        <v>2.7E-2</v>
      </c>
      <c r="I227">
        <v>15.3</v>
      </c>
      <c r="J227" s="3">
        <v>2.93</v>
      </c>
      <c r="M227" t="str">
        <f t="shared" si="10"/>
        <v>Low Growth</v>
      </c>
      <c r="N227" s="2">
        <f t="shared" si="11"/>
        <v>56325491359</v>
      </c>
      <c r="O227" s="12">
        <f t="shared" si="9"/>
        <v>43405</v>
      </c>
    </row>
    <row r="228" spans="1:15" x14ac:dyDescent="0.3">
      <c r="A228">
        <v>2018</v>
      </c>
      <c r="B228">
        <v>11</v>
      </c>
      <c r="C228" t="s">
        <v>10</v>
      </c>
      <c r="D228" t="s">
        <v>13</v>
      </c>
      <c r="E228">
        <v>10830</v>
      </c>
      <c r="F228" s="2">
        <v>56488</v>
      </c>
      <c r="G228" s="1">
        <v>611765040</v>
      </c>
      <c r="H228">
        <v>3.4000000000000002E-2</v>
      </c>
      <c r="I228">
        <v>15.3</v>
      </c>
      <c r="J228" s="3">
        <v>2.93</v>
      </c>
      <c r="M228" t="str">
        <f t="shared" si="10"/>
        <v>High Growth</v>
      </c>
      <c r="N228" s="2">
        <f t="shared" si="11"/>
        <v>56325491359</v>
      </c>
      <c r="O228" s="12">
        <f t="shared" si="9"/>
        <v>43405</v>
      </c>
    </row>
    <row r="229" spans="1:15" x14ac:dyDescent="0.3">
      <c r="A229">
        <v>2018</v>
      </c>
      <c r="B229">
        <v>11</v>
      </c>
      <c r="C229" t="s">
        <v>10</v>
      </c>
      <c r="D229" t="s">
        <v>14</v>
      </c>
      <c r="E229">
        <v>10016</v>
      </c>
      <c r="F229" s="2">
        <v>68561</v>
      </c>
      <c r="G229" s="1">
        <v>686706976</v>
      </c>
      <c r="H229">
        <v>0.03</v>
      </c>
      <c r="I229">
        <v>15.3</v>
      </c>
      <c r="J229" s="3">
        <v>2.93</v>
      </c>
      <c r="M229" t="str">
        <f t="shared" si="10"/>
        <v>Low Growth</v>
      </c>
      <c r="N229" s="2">
        <f t="shared" si="11"/>
        <v>56325491359</v>
      </c>
      <c r="O229" s="12">
        <f t="shared" si="9"/>
        <v>43405</v>
      </c>
    </row>
    <row r="230" spans="1:15" x14ac:dyDescent="0.3">
      <c r="A230">
        <v>2018</v>
      </c>
      <c r="B230">
        <v>11</v>
      </c>
      <c r="C230" t="s">
        <v>10</v>
      </c>
      <c r="D230" t="s">
        <v>15</v>
      </c>
      <c r="E230">
        <v>10201</v>
      </c>
      <c r="F230" s="2">
        <v>90400</v>
      </c>
      <c r="G230" s="1">
        <v>922170400</v>
      </c>
      <c r="H230">
        <v>2.1000000000000001E-2</v>
      </c>
      <c r="I230">
        <v>15.3</v>
      </c>
      <c r="J230" s="3">
        <v>2.93</v>
      </c>
      <c r="M230" t="str">
        <f t="shared" si="10"/>
        <v>Low Growth</v>
      </c>
      <c r="N230" s="2">
        <f t="shared" si="11"/>
        <v>56325491359</v>
      </c>
      <c r="O230" s="12">
        <f t="shared" si="9"/>
        <v>43405</v>
      </c>
    </row>
    <row r="231" spans="1:15" x14ac:dyDescent="0.3">
      <c r="A231">
        <v>2018</v>
      </c>
      <c r="B231">
        <v>11</v>
      </c>
      <c r="C231" t="s">
        <v>10</v>
      </c>
      <c r="D231" t="s">
        <v>16</v>
      </c>
      <c r="E231">
        <v>7992</v>
      </c>
      <c r="F231" s="2">
        <v>66028</v>
      </c>
      <c r="G231" s="1">
        <v>527695776</v>
      </c>
      <c r="H231">
        <v>1.4999999999999999E-2</v>
      </c>
      <c r="I231">
        <v>15.3</v>
      </c>
      <c r="J231" s="3">
        <v>2.93</v>
      </c>
      <c r="M231" t="str">
        <f t="shared" si="10"/>
        <v>Low Growth</v>
      </c>
      <c r="N231" s="2">
        <f t="shared" si="11"/>
        <v>56325491359</v>
      </c>
      <c r="O231" s="12">
        <f t="shared" si="9"/>
        <v>43405</v>
      </c>
    </row>
    <row r="232" spans="1:15" x14ac:dyDescent="0.3">
      <c r="A232">
        <v>2018</v>
      </c>
      <c r="B232">
        <v>11</v>
      </c>
      <c r="C232" t="s">
        <v>10</v>
      </c>
      <c r="D232" t="s">
        <v>17</v>
      </c>
      <c r="E232">
        <v>5374</v>
      </c>
      <c r="F232" s="2">
        <v>75735</v>
      </c>
      <c r="G232" s="1">
        <v>406999890</v>
      </c>
      <c r="H232">
        <v>8.9999999999999993E-3</v>
      </c>
      <c r="I232">
        <v>15.3</v>
      </c>
      <c r="J232" s="3">
        <v>2.93</v>
      </c>
      <c r="M232" t="str">
        <f t="shared" si="10"/>
        <v>Low Growth</v>
      </c>
      <c r="N232" s="2">
        <f t="shared" si="11"/>
        <v>56325491359</v>
      </c>
      <c r="O232" s="12">
        <f t="shared" si="9"/>
        <v>43405</v>
      </c>
    </row>
    <row r="233" spans="1:15" x14ac:dyDescent="0.3">
      <c r="A233">
        <v>2018</v>
      </c>
      <c r="B233">
        <v>11</v>
      </c>
      <c r="C233" t="s">
        <v>10</v>
      </c>
      <c r="D233" t="s">
        <v>18</v>
      </c>
      <c r="E233">
        <v>9981</v>
      </c>
      <c r="F233" s="2">
        <v>41521</v>
      </c>
      <c r="G233" s="1">
        <v>414421101</v>
      </c>
      <c r="H233">
        <v>3.1E-2</v>
      </c>
      <c r="I233">
        <v>15.3</v>
      </c>
      <c r="J233" s="3">
        <v>2.93</v>
      </c>
      <c r="M233" t="str">
        <f t="shared" si="10"/>
        <v>High Growth</v>
      </c>
      <c r="N233" s="2">
        <f t="shared" si="11"/>
        <v>56325491359</v>
      </c>
      <c r="O233" s="12">
        <f t="shared" si="9"/>
        <v>43405</v>
      </c>
    </row>
    <row r="234" spans="1:15" x14ac:dyDescent="0.3">
      <c r="A234">
        <v>2018</v>
      </c>
      <c r="B234">
        <v>11</v>
      </c>
      <c r="C234" t="s">
        <v>19</v>
      </c>
      <c r="D234" t="s">
        <v>11</v>
      </c>
      <c r="E234">
        <v>4673</v>
      </c>
      <c r="F234" s="2">
        <v>49561</v>
      </c>
      <c r="G234" s="1">
        <v>231598553</v>
      </c>
      <c r="H234">
        <v>1.4999999999999999E-2</v>
      </c>
      <c r="I234">
        <v>19.22</v>
      </c>
      <c r="J234" s="3">
        <v>4.3600000000000003</v>
      </c>
      <c r="M234" t="str">
        <f t="shared" si="10"/>
        <v>Low Growth</v>
      </c>
      <c r="N234" s="2">
        <f t="shared" si="11"/>
        <v>58905926051</v>
      </c>
      <c r="O234" s="12">
        <f t="shared" si="9"/>
        <v>43405</v>
      </c>
    </row>
    <row r="235" spans="1:15" x14ac:dyDescent="0.3">
      <c r="A235">
        <v>2018</v>
      </c>
      <c r="B235">
        <v>11</v>
      </c>
      <c r="C235" t="s">
        <v>19</v>
      </c>
      <c r="D235" t="s">
        <v>12</v>
      </c>
      <c r="E235">
        <v>2958</v>
      </c>
      <c r="F235" s="2">
        <v>61296</v>
      </c>
      <c r="G235" s="1">
        <v>181313568</v>
      </c>
      <c r="H235">
        <v>2.9000000000000001E-2</v>
      </c>
      <c r="I235">
        <v>19.22</v>
      </c>
      <c r="J235" s="3">
        <v>4.3600000000000003</v>
      </c>
      <c r="M235" t="str">
        <f t="shared" si="10"/>
        <v>Low Growth</v>
      </c>
      <c r="N235" s="2">
        <f t="shared" si="11"/>
        <v>58905926051</v>
      </c>
      <c r="O235" s="12">
        <f t="shared" si="9"/>
        <v>43405</v>
      </c>
    </row>
    <row r="236" spans="1:15" x14ac:dyDescent="0.3">
      <c r="A236">
        <v>2018</v>
      </c>
      <c r="B236">
        <v>11</v>
      </c>
      <c r="C236" t="s">
        <v>19</v>
      </c>
      <c r="D236" t="s">
        <v>13</v>
      </c>
      <c r="E236">
        <v>9683</v>
      </c>
      <c r="F236" s="2">
        <v>58235</v>
      </c>
      <c r="G236" s="1">
        <v>563889505</v>
      </c>
      <c r="H236">
        <v>6.0000000000000001E-3</v>
      </c>
      <c r="I236">
        <v>19.22</v>
      </c>
      <c r="J236" s="3">
        <v>4.3600000000000003</v>
      </c>
      <c r="M236" t="str">
        <f t="shared" si="10"/>
        <v>Low Growth</v>
      </c>
      <c r="N236" s="2">
        <f t="shared" si="11"/>
        <v>58905926051</v>
      </c>
      <c r="O236" s="12">
        <f t="shared" si="9"/>
        <v>43405</v>
      </c>
    </row>
    <row r="237" spans="1:15" x14ac:dyDescent="0.3">
      <c r="A237">
        <v>2018</v>
      </c>
      <c r="B237">
        <v>11</v>
      </c>
      <c r="C237" t="s">
        <v>19</v>
      </c>
      <c r="D237" t="s">
        <v>14</v>
      </c>
      <c r="E237">
        <v>9956</v>
      </c>
      <c r="F237" s="2">
        <v>68121</v>
      </c>
      <c r="G237" s="1">
        <v>678212676</v>
      </c>
      <c r="H237">
        <v>2.5000000000000001E-2</v>
      </c>
      <c r="I237">
        <v>19.22</v>
      </c>
      <c r="J237" s="3">
        <v>4.3600000000000003</v>
      </c>
      <c r="M237" t="str">
        <f t="shared" si="10"/>
        <v>Low Growth</v>
      </c>
      <c r="N237" s="2">
        <f t="shared" si="11"/>
        <v>58905926051</v>
      </c>
      <c r="O237" s="12">
        <f t="shared" si="9"/>
        <v>43405</v>
      </c>
    </row>
    <row r="238" spans="1:15" x14ac:dyDescent="0.3">
      <c r="A238">
        <v>2018</v>
      </c>
      <c r="B238">
        <v>11</v>
      </c>
      <c r="C238" t="s">
        <v>19</v>
      </c>
      <c r="D238" t="s">
        <v>15</v>
      </c>
      <c r="E238">
        <v>2498</v>
      </c>
      <c r="F238" s="2">
        <v>90182</v>
      </c>
      <c r="G238" s="1">
        <v>225274636</v>
      </c>
      <c r="H238">
        <v>0.01</v>
      </c>
      <c r="I238">
        <v>19.22</v>
      </c>
      <c r="J238" s="3">
        <v>4.3600000000000003</v>
      </c>
      <c r="M238" t="str">
        <f t="shared" si="10"/>
        <v>Low Growth</v>
      </c>
      <c r="N238" s="2">
        <f t="shared" si="11"/>
        <v>58905926051</v>
      </c>
      <c r="O238" s="12">
        <f t="shared" si="9"/>
        <v>43405</v>
      </c>
    </row>
    <row r="239" spans="1:15" x14ac:dyDescent="0.3">
      <c r="A239">
        <v>2018</v>
      </c>
      <c r="B239">
        <v>11</v>
      </c>
      <c r="C239" t="s">
        <v>19</v>
      </c>
      <c r="D239" t="s">
        <v>16</v>
      </c>
      <c r="E239">
        <v>9144</v>
      </c>
      <c r="F239" s="2">
        <v>63363</v>
      </c>
      <c r="G239" s="1">
        <v>579391272</v>
      </c>
      <c r="H239">
        <v>3.3000000000000002E-2</v>
      </c>
      <c r="I239">
        <v>19.22</v>
      </c>
      <c r="J239" s="3">
        <v>4.3600000000000003</v>
      </c>
      <c r="M239" t="str">
        <f t="shared" si="10"/>
        <v>High Growth</v>
      </c>
      <c r="N239" s="2">
        <f t="shared" si="11"/>
        <v>58905926051</v>
      </c>
      <c r="O239" s="12">
        <f t="shared" si="9"/>
        <v>43405</v>
      </c>
    </row>
    <row r="240" spans="1:15" x14ac:dyDescent="0.3">
      <c r="A240">
        <v>2018</v>
      </c>
      <c r="B240">
        <v>11</v>
      </c>
      <c r="C240" t="s">
        <v>19</v>
      </c>
      <c r="D240" t="s">
        <v>17</v>
      </c>
      <c r="E240">
        <v>10193</v>
      </c>
      <c r="F240" s="2">
        <v>74372</v>
      </c>
      <c r="G240" s="1">
        <v>758073796</v>
      </c>
      <c r="H240">
        <v>2.4E-2</v>
      </c>
      <c r="I240">
        <v>19.22</v>
      </c>
      <c r="J240" s="3">
        <v>4.3600000000000003</v>
      </c>
      <c r="M240" t="str">
        <f t="shared" si="10"/>
        <v>Low Growth</v>
      </c>
      <c r="N240" s="2">
        <f t="shared" si="11"/>
        <v>58905926051</v>
      </c>
      <c r="O240" s="12">
        <f t="shared" si="9"/>
        <v>43405</v>
      </c>
    </row>
    <row r="241" spans="1:15" x14ac:dyDescent="0.3">
      <c r="A241">
        <v>2018</v>
      </c>
      <c r="B241">
        <v>11</v>
      </c>
      <c r="C241" t="s">
        <v>19</v>
      </c>
      <c r="D241" t="s">
        <v>18</v>
      </c>
      <c r="E241">
        <v>3249</v>
      </c>
      <c r="F241" s="2">
        <v>43468</v>
      </c>
      <c r="G241" s="1">
        <v>141227532</v>
      </c>
      <c r="H241">
        <v>1E-3</v>
      </c>
      <c r="I241">
        <v>19.22</v>
      </c>
      <c r="J241" s="3">
        <v>4.3600000000000003</v>
      </c>
      <c r="M241" t="str">
        <f t="shared" si="10"/>
        <v>Low Growth</v>
      </c>
      <c r="N241" s="2">
        <f t="shared" si="11"/>
        <v>58905926051</v>
      </c>
      <c r="O241" s="12">
        <f t="shared" si="9"/>
        <v>43405</v>
      </c>
    </row>
    <row r="242" spans="1:15" x14ac:dyDescent="0.3">
      <c r="A242">
        <v>2018</v>
      </c>
      <c r="B242">
        <v>11</v>
      </c>
      <c r="C242" t="s">
        <v>20</v>
      </c>
      <c r="D242" t="s">
        <v>11</v>
      </c>
      <c r="E242">
        <v>10451</v>
      </c>
      <c r="F242" s="2">
        <v>46250</v>
      </c>
      <c r="G242" s="1">
        <v>483358750</v>
      </c>
      <c r="H242">
        <v>2.3E-2</v>
      </c>
      <c r="I242">
        <v>18.309999999999999</v>
      </c>
      <c r="J242" s="3">
        <v>3.87</v>
      </c>
      <c r="M242" t="str">
        <f t="shared" si="10"/>
        <v>Low Growth</v>
      </c>
      <c r="N242" s="2">
        <f t="shared" si="11"/>
        <v>54599997295</v>
      </c>
      <c r="O242" s="12">
        <f t="shared" si="9"/>
        <v>43405</v>
      </c>
    </row>
    <row r="243" spans="1:15" x14ac:dyDescent="0.3">
      <c r="A243">
        <v>2018</v>
      </c>
      <c r="B243">
        <v>11</v>
      </c>
      <c r="C243" t="s">
        <v>20</v>
      </c>
      <c r="D243" t="s">
        <v>12</v>
      </c>
      <c r="E243">
        <v>5994</v>
      </c>
      <c r="F243" s="2">
        <v>61914</v>
      </c>
      <c r="G243" s="1">
        <v>371112516</v>
      </c>
      <c r="H243">
        <v>0.02</v>
      </c>
      <c r="I243">
        <v>18.309999999999999</v>
      </c>
      <c r="J243" s="3">
        <v>3.87</v>
      </c>
      <c r="M243" t="str">
        <f t="shared" si="10"/>
        <v>Low Growth</v>
      </c>
      <c r="N243" s="2">
        <f t="shared" si="11"/>
        <v>54599997295</v>
      </c>
      <c r="O243" s="12">
        <f t="shared" si="9"/>
        <v>43405</v>
      </c>
    </row>
    <row r="244" spans="1:15" x14ac:dyDescent="0.3">
      <c r="A244">
        <v>2018</v>
      </c>
      <c r="B244">
        <v>11</v>
      </c>
      <c r="C244" t="s">
        <v>20</v>
      </c>
      <c r="D244" t="s">
        <v>13</v>
      </c>
      <c r="E244">
        <v>9220</v>
      </c>
      <c r="F244" s="2">
        <v>57771</v>
      </c>
      <c r="G244" s="1">
        <v>532648620</v>
      </c>
      <c r="H244">
        <v>4.5999999999999999E-2</v>
      </c>
      <c r="I244">
        <v>18.309999999999999</v>
      </c>
      <c r="J244" s="3">
        <v>3.87</v>
      </c>
      <c r="M244" t="str">
        <f t="shared" si="10"/>
        <v>High Growth</v>
      </c>
      <c r="N244" s="2">
        <f t="shared" si="11"/>
        <v>54599997295</v>
      </c>
      <c r="O244" s="12">
        <f t="shared" si="9"/>
        <v>43405</v>
      </c>
    </row>
    <row r="245" spans="1:15" x14ac:dyDescent="0.3">
      <c r="A245">
        <v>2018</v>
      </c>
      <c r="B245">
        <v>11</v>
      </c>
      <c r="C245" t="s">
        <v>20</v>
      </c>
      <c r="D245" t="s">
        <v>14</v>
      </c>
      <c r="E245">
        <v>11356</v>
      </c>
      <c r="F245" s="2">
        <v>69424</v>
      </c>
      <c r="G245" s="1">
        <v>788378944</v>
      </c>
      <c r="H245">
        <v>1.2999999999999999E-2</v>
      </c>
      <c r="I245">
        <v>18.309999999999999</v>
      </c>
      <c r="J245" s="3">
        <v>3.87</v>
      </c>
      <c r="M245" t="str">
        <f t="shared" si="10"/>
        <v>Low Growth</v>
      </c>
      <c r="N245" s="2">
        <f t="shared" si="11"/>
        <v>54599997295</v>
      </c>
      <c r="O245" s="12">
        <f t="shared" si="9"/>
        <v>43405</v>
      </c>
    </row>
    <row r="246" spans="1:15" x14ac:dyDescent="0.3">
      <c r="A246">
        <v>2018</v>
      </c>
      <c r="B246">
        <v>11</v>
      </c>
      <c r="C246" t="s">
        <v>20</v>
      </c>
      <c r="D246" t="s">
        <v>15</v>
      </c>
      <c r="E246">
        <v>6517</v>
      </c>
      <c r="F246" s="2">
        <v>90339</v>
      </c>
      <c r="G246" s="1">
        <v>588739263</v>
      </c>
      <c r="H246">
        <v>1.7000000000000001E-2</v>
      </c>
      <c r="I246">
        <v>18.309999999999999</v>
      </c>
      <c r="J246" s="3">
        <v>3.87</v>
      </c>
      <c r="M246" t="str">
        <f t="shared" si="10"/>
        <v>Low Growth</v>
      </c>
      <c r="N246" s="2">
        <f t="shared" si="11"/>
        <v>54599997295</v>
      </c>
      <c r="O246" s="12">
        <f t="shared" si="9"/>
        <v>43405</v>
      </c>
    </row>
    <row r="247" spans="1:15" x14ac:dyDescent="0.3">
      <c r="A247">
        <v>2018</v>
      </c>
      <c r="B247">
        <v>11</v>
      </c>
      <c r="C247" t="s">
        <v>20</v>
      </c>
      <c r="D247" t="s">
        <v>16</v>
      </c>
      <c r="E247">
        <v>5947</v>
      </c>
      <c r="F247" s="2">
        <v>65050</v>
      </c>
      <c r="G247" s="1">
        <v>386852350</v>
      </c>
      <c r="H247">
        <v>1.2999999999999999E-2</v>
      </c>
      <c r="I247">
        <v>18.309999999999999</v>
      </c>
      <c r="J247" s="3">
        <v>3.87</v>
      </c>
      <c r="M247" t="str">
        <f t="shared" si="10"/>
        <v>Low Growth</v>
      </c>
      <c r="N247" s="2">
        <f t="shared" si="11"/>
        <v>54599997295</v>
      </c>
      <c r="O247" s="12">
        <f t="shared" si="9"/>
        <v>43405</v>
      </c>
    </row>
    <row r="248" spans="1:15" x14ac:dyDescent="0.3">
      <c r="A248">
        <v>2018</v>
      </c>
      <c r="B248">
        <v>11</v>
      </c>
      <c r="C248" t="s">
        <v>20</v>
      </c>
      <c r="D248" t="s">
        <v>17</v>
      </c>
      <c r="E248">
        <v>3481</v>
      </c>
      <c r="F248" s="2">
        <v>73145</v>
      </c>
      <c r="G248" s="1">
        <v>254617745</v>
      </c>
      <c r="H248">
        <v>2.8000000000000001E-2</v>
      </c>
      <c r="I248">
        <v>18.309999999999999</v>
      </c>
      <c r="J248" s="3">
        <v>3.87</v>
      </c>
      <c r="M248" t="str">
        <f t="shared" si="10"/>
        <v>Low Growth</v>
      </c>
      <c r="N248" s="2">
        <f t="shared" si="11"/>
        <v>54599997295</v>
      </c>
      <c r="O248" s="12">
        <f t="shared" si="9"/>
        <v>43405</v>
      </c>
    </row>
    <row r="249" spans="1:15" x14ac:dyDescent="0.3">
      <c r="A249">
        <v>2018</v>
      </c>
      <c r="B249">
        <v>11</v>
      </c>
      <c r="C249" t="s">
        <v>20</v>
      </c>
      <c r="D249" t="s">
        <v>18</v>
      </c>
      <c r="E249">
        <v>6543</v>
      </c>
      <c r="F249" s="2">
        <v>43736</v>
      </c>
      <c r="G249" s="1">
        <v>286164648</v>
      </c>
      <c r="H249">
        <v>1.4999999999999999E-2</v>
      </c>
      <c r="I249">
        <v>18.309999999999999</v>
      </c>
      <c r="J249" s="3">
        <v>3.87</v>
      </c>
      <c r="M249" t="str">
        <f t="shared" si="10"/>
        <v>Low Growth</v>
      </c>
      <c r="N249" s="2">
        <f t="shared" si="11"/>
        <v>54599997295</v>
      </c>
      <c r="O249" s="12">
        <f t="shared" si="9"/>
        <v>43405</v>
      </c>
    </row>
    <row r="250" spans="1:15" x14ac:dyDescent="0.3">
      <c r="A250">
        <v>2018</v>
      </c>
      <c r="B250">
        <v>11</v>
      </c>
      <c r="C250" t="s">
        <v>21</v>
      </c>
      <c r="D250" t="s">
        <v>11</v>
      </c>
      <c r="E250">
        <v>6644</v>
      </c>
      <c r="F250" s="2">
        <v>49211</v>
      </c>
      <c r="G250" s="1">
        <v>326957884</v>
      </c>
      <c r="H250">
        <v>3.5999999999999997E-2</v>
      </c>
      <c r="I250">
        <v>5.09</v>
      </c>
      <c r="J250" s="3">
        <v>3.46</v>
      </c>
      <c r="M250" t="str">
        <f t="shared" si="10"/>
        <v>High Growth</v>
      </c>
      <c r="N250" s="2">
        <f t="shared" si="11"/>
        <v>55528754190</v>
      </c>
      <c r="O250" s="12">
        <f t="shared" si="9"/>
        <v>43405</v>
      </c>
    </row>
    <row r="251" spans="1:15" x14ac:dyDescent="0.3">
      <c r="A251">
        <v>2018</v>
      </c>
      <c r="B251">
        <v>11</v>
      </c>
      <c r="C251" t="s">
        <v>21</v>
      </c>
      <c r="D251" t="s">
        <v>12</v>
      </c>
      <c r="E251">
        <v>4111</v>
      </c>
      <c r="F251" s="2">
        <v>62108</v>
      </c>
      <c r="G251" s="1">
        <v>255325988</v>
      </c>
      <c r="H251">
        <v>0.01</v>
      </c>
      <c r="I251">
        <v>5.09</v>
      </c>
      <c r="J251" s="3">
        <v>3.46</v>
      </c>
      <c r="M251" t="str">
        <f t="shared" si="10"/>
        <v>Low Growth</v>
      </c>
      <c r="N251" s="2">
        <f t="shared" si="11"/>
        <v>55528754190</v>
      </c>
      <c r="O251" s="12">
        <f t="shared" si="9"/>
        <v>43405</v>
      </c>
    </row>
    <row r="252" spans="1:15" x14ac:dyDescent="0.3">
      <c r="A252">
        <v>2018</v>
      </c>
      <c r="B252">
        <v>11</v>
      </c>
      <c r="C252" t="s">
        <v>21</v>
      </c>
      <c r="D252" t="s">
        <v>13</v>
      </c>
      <c r="E252">
        <v>11048</v>
      </c>
      <c r="F252" s="2">
        <v>59390</v>
      </c>
      <c r="G252" s="1">
        <v>656140720</v>
      </c>
      <c r="H252">
        <v>2.3E-2</v>
      </c>
      <c r="I252">
        <v>5.09</v>
      </c>
      <c r="J252" s="3">
        <v>3.46</v>
      </c>
      <c r="M252" t="str">
        <f t="shared" si="10"/>
        <v>Low Growth</v>
      </c>
      <c r="N252" s="2">
        <f t="shared" si="11"/>
        <v>55528754190</v>
      </c>
      <c r="O252" s="12">
        <f t="shared" si="9"/>
        <v>43405</v>
      </c>
    </row>
    <row r="253" spans="1:15" x14ac:dyDescent="0.3">
      <c r="A253">
        <v>2018</v>
      </c>
      <c r="B253">
        <v>11</v>
      </c>
      <c r="C253" t="s">
        <v>21</v>
      </c>
      <c r="D253" t="s">
        <v>14</v>
      </c>
      <c r="E253">
        <v>10166</v>
      </c>
      <c r="F253" s="2">
        <v>68085</v>
      </c>
      <c r="G253" s="1">
        <v>692152110</v>
      </c>
      <c r="H253">
        <v>2.1000000000000001E-2</v>
      </c>
      <c r="I253">
        <v>5.09</v>
      </c>
      <c r="J253" s="3">
        <v>3.46</v>
      </c>
      <c r="M253" t="str">
        <f t="shared" si="10"/>
        <v>Low Growth</v>
      </c>
      <c r="N253" s="2">
        <f t="shared" si="11"/>
        <v>55528754190</v>
      </c>
      <c r="O253" s="12">
        <f t="shared" si="9"/>
        <v>43405</v>
      </c>
    </row>
    <row r="254" spans="1:15" x14ac:dyDescent="0.3">
      <c r="A254">
        <v>2018</v>
      </c>
      <c r="B254">
        <v>11</v>
      </c>
      <c r="C254" t="s">
        <v>21</v>
      </c>
      <c r="D254" t="s">
        <v>15</v>
      </c>
      <c r="E254">
        <v>4149</v>
      </c>
      <c r="F254" s="2">
        <v>93932</v>
      </c>
      <c r="G254" s="1">
        <v>389723868</v>
      </c>
      <c r="H254">
        <v>1.9E-2</v>
      </c>
      <c r="I254">
        <v>5.09</v>
      </c>
      <c r="J254" s="3">
        <v>3.46</v>
      </c>
      <c r="M254" t="str">
        <f t="shared" si="10"/>
        <v>Low Growth</v>
      </c>
      <c r="N254" s="2">
        <f t="shared" si="11"/>
        <v>55528754190</v>
      </c>
      <c r="O254" s="12">
        <f t="shared" si="9"/>
        <v>43405</v>
      </c>
    </row>
    <row r="255" spans="1:15" x14ac:dyDescent="0.3">
      <c r="A255">
        <v>2018</v>
      </c>
      <c r="B255">
        <v>11</v>
      </c>
      <c r="C255" t="s">
        <v>21</v>
      </c>
      <c r="D255" t="s">
        <v>16</v>
      </c>
      <c r="E255">
        <v>7532</v>
      </c>
      <c r="F255" s="2">
        <v>63884</v>
      </c>
      <c r="G255" s="1">
        <v>481174288</v>
      </c>
      <c r="H255">
        <v>1.2999999999999999E-2</v>
      </c>
      <c r="I255">
        <v>5.09</v>
      </c>
      <c r="J255" s="3">
        <v>3.46</v>
      </c>
      <c r="M255" t="str">
        <f t="shared" si="10"/>
        <v>Low Growth</v>
      </c>
      <c r="N255" s="2">
        <f t="shared" si="11"/>
        <v>55528754190</v>
      </c>
      <c r="O255" s="12">
        <f t="shared" si="9"/>
        <v>43405</v>
      </c>
    </row>
    <row r="256" spans="1:15" x14ac:dyDescent="0.3">
      <c r="A256">
        <v>2018</v>
      </c>
      <c r="B256">
        <v>11</v>
      </c>
      <c r="C256" t="s">
        <v>21</v>
      </c>
      <c r="D256" t="s">
        <v>17</v>
      </c>
      <c r="E256">
        <v>5760</v>
      </c>
      <c r="F256" s="2">
        <v>75553</v>
      </c>
      <c r="G256" s="1">
        <v>435185280</v>
      </c>
      <c r="H256">
        <v>1.6E-2</v>
      </c>
      <c r="I256">
        <v>5.09</v>
      </c>
      <c r="J256" s="3">
        <v>3.46</v>
      </c>
      <c r="M256" t="str">
        <f t="shared" si="10"/>
        <v>Low Growth</v>
      </c>
      <c r="N256" s="2">
        <f t="shared" si="11"/>
        <v>55528754190</v>
      </c>
      <c r="O256" s="12">
        <f t="shared" si="9"/>
        <v>43405</v>
      </c>
    </row>
    <row r="257" spans="1:15" x14ac:dyDescent="0.3">
      <c r="A257">
        <v>2018</v>
      </c>
      <c r="B257">
        <v>11</v>
      </c>
      <c r="C257" t="s">
        <v>21</v>
      </c>
      <c r="D257" t="s">
        <v>18</v>
      </c>
      <c r="E257">
        <v>8456</v>
      </c>
      <c r="F257" s="2">
        <v>41911</v>
      </c>
      <c r="G257" s="1">
        <v>354399416</v>
      </c>
      <c r="H257">
        <v>1.9E-2</v>
      </c>
      <c r="I257">
        <v>5.09</v>
      </c>
      <c r="J257" s="3">
        <v>3.46</v>
      </c>
      <c r="M257" t="str">
        <f t="shared" si="10"/>
        <v>Low Growth</v>
      </c>
      <c r="N257" s="2">
        <f t="shared" si="11"/>
        <v>55528754190</v>
      </c>
      <c r="O257" s="12">
        <f t="shared" si="9"/>
        <v>43405</v>
      </c>
    </row>
    <row r="258" spans="1:15" x14ac:dyDescent="0.3">
      <c r="A258">
        <v>2018</v>
      </c>
      <c r="B258">
        <v>12</v>
      </c>
      <c r="C258" t="s">
        <v>10</v>
      </c>
      <c r="D258" t="s">
        <v>11</v>
      </c>
      <c r="E258">
        <v>5759</v>
      </c>
      <c r="F258" s="2">
        <v>47776</v>
      </c>
      <c r="G258" s="1">
        <v>275141984</v>
      </c>
      <c r="H258">
        <v>4.4999999999999998E-2</v>
      </c>
      <c r="I258">
        <v>20.78</v>
      </c>
      <c r="J258" s="3">
        <v>2.5</v>
      </c>
      <c r="M258" t="str">
        <f t="shared" si="10"/>
        <v>High Growth</v>
      </c>
      <c r="N258" s="2">
        <f t="shared" si="11"/>
        <v>56325491359</v>
      </c>
      <c r="O258" s="12">
        <f t="shared" ref="O258:O321" si="12">DATE(A258,B258,1)</f>
        <v>43435</v>
      </c>
    </row>
    <row r="259" spans="1:15" x14ac:dyDescent="0.3">
      <c r="A259">
        <v>2018</v>
      </c>
      <c r="B259">
        <v>12</v>
      </c>
      <c r="C259" t="s">
        <v>10</v>
      </c>
      <c r="D259" t="s">
        <v>12</v>
      </c>
      <c r="E259">
        <v>11172</v>
      </c>
      <c r="F259" s="2">
        <v>62466</v>
      </c>
      <c r="G259" s="1">
        <v>697870152</v>
      </c>
      <c r="H259">
        <v>2.5000000000000001E-2</v>
      </c>
      <c r="I259">
        <v>20.78</v>
      </c>
      <c r="J259" s="3">
        <v>2.5</v>
      </c>
      <c r="M259" t="str">
        <f t="shared" ref="M259:M322" si="13">IF(H259&gt;0.03,"High Growth","Low Growth")</f>
        <v>Low Growth</v>
      </c>
      <c r="N259" s="2">
        <f t="shared" ref="N259:N322" si="14">SUMIF(C:C, C259, G:G)</f>
        <v>56325491359</v>
      </c>
      <c r="O259" s="12">
        <f t="shared" si="12"/>
        <v>43435</v>
      </c>
    </row>
    <row r="260" spans="1:15" x14ac:dyDescent="0.3">
      <c r="A260">
        <v>2018</v>
      </c>
      <c r="B260">
        <v>12</v>
      </c>
      <c r="C260" t="s">
        <v>10</v>
      </c>
      <c r="D260" t="s">
        <v>13</v>
      </c>
      <c r="E260">
        <v>12695</v>
      </c>
      <c r="F260" s="2">
        <v>56159</v>
      </c>
      <c r="G260" s="1">
        <v>712938505</v>
      </c>
      <c r="H260">
        <v>1.2E-2</v>
      </c>
      <c r="I260">
        <v>20.78</v>
      </c>
      <c r="J260" s="3">
        <v>2.5</v>
      </c>
      <c r="M260" t="str">
        <f t="shared" si="13"/>
        <v>Low Growth</v>
      </c>
      <c r="N260" s="2">
        <f t="shared" si="14"/>
        <v>56325491359</v>
      </c>
      <c r="O260" s="12">
        <f t="shared" si="12"/>
        <v>43435</v>
      </c>
    </row>
    <row r="261" spans="1:15" x14ac:dyDescent="0.3">
      <c r="A261">
        <v>2018</v>
      </c>
      <c r="B261">
        <v>12</v>
      </c>
      <c r="C261" t="s">
        <v>10</v>
      </c>
      <c r="D261" t="s">
        <v>14</v>
      </c>
      <c r="E261">
        <v>11446</v>
      </c>
      <c r="F261" s="2">
        <v>67780</v>
      </c>
      <c r="G261" s="1">
        <v>775809880</v>
      </c>
      <c r="H261">
        <v>2.5000000000000001E-2</v>
      </c>
      <c r="I261">
        <v>20.78</v>
      </c>
      <c r="J261" s="3">
        <v>2.5</v>
      </c>
      <c r="M261" t="str">
        <f t="shared" si="13"/>
        <v>Low Growth</v>
      </c>
      <c r="N261" s="2">
        <f t="shared" si="14"/>
        <v>56325491359</v>
      </c>
      <c r="O261" s="12">
        <f t="shared" si="12"/>
        <v>43435</v>
      </c>
    </row>
    <row r="262" spans="1:15" x14ac:dyDescent="0.3">
      <c r="A262">
        <v>2018</v>
      </c>
      <c r="B262">
        <v>12</v>
      </c>
      <c r="C262" t="s">
        <v>10</v>
      </c>
      <c r="D262" t="s">
        <v>15</v>
      </c>
      <c r="E262">
        <v>10765</v>
      </c>
      <c r="F262" s="2">
        <v>92682</v>
      </c>
      <c r="G262" s="1">
        <v>997721730</v>
      </c>
      <c r="H262">
        <v>-2E-3</v>
      </c>
      <c r="I262">
        <v>20.78</v>
      </c>
      <c r="J262" s="3">
        <v>2.5</v>
      </c>
      <c r="M262" t="str">
        <f t="shared" si="13"/>
        <v>Low Growth</v>
      </c>
      <c r="N262" s="2">
        <f t="shared" si="14"/>
        <v>56325491359</v>
      </c>
      <c r="O262" s="12">
        <f t="shared" si="12"/>
        <v>43435</v>
      </c>
    </row>
    <row r="263" spans="1:15" x14ac:dyDescent="0.3">
      <c r="A263">
        <v>2018</v>
      </c>
      <c r="B263">
        <v>12</v>
      </c>
      <c r="C263" t="s">
        <v>10</v>
      </c>
      <c r="D263" t="s">
        <v>16</v>
      </c>
      <c r="E263">
        <v>12846</v>
      </c>
      <c r="F263" s="2">
        <v>66612</v>
      </c>
      <c r="G263" s="1">
        <v>855697752</v>
      </c>
      <c r="H263">
        <v>1.0999999999999999E-2</v>
      </c>
      <c r="I263">
        <v>20.78</v>
      </c>
      <c r="J263" s="3">
        <v>2.5</v>
      </c>
      <c r="M263" t="str">
        <f t="shared" si="13"/>
        <v>Low Growth</v>
      </c>
      <c r="N263" s="2">
        <f t="shared" si="14"/>
        <v>56325491359</v>
      </c>
      <c r="O263" s="12">
        <f t="shared" si="12"/>
        <v>43435</v>
      </c>
    </row>
    <row r="264" spans="1:15" x14ac:dyDescent="0.3">
      <c r="A264">
        <v>2018</v>
      </c>
      <c r="B264">
        <v>12</v>
      </c>
      <c r="C264" t="s">
        <v>10</v>
      </c>
      <c r="D264" t="s">
        <v>17</v>
      </c>
      <c r="E264">
        <v>4089</v>
      </c>
      <c r="F264" s="2">
        <v>76332</v>
      </c>
      <c r="G264" s="1">
        <v>312121548</v>
      </c>
      <c r="H264">
        <v>2.5000000000000001E-2</v>
      </c>
      <c r="I264">
        <v>20.78</v>
      </c>
      <c r="J264" s="3">
        <v>2.5</v>
      </c>
      <c r="M264" t="str">
        <f t="shared" si="13"/>
        <v>Low Growth</v>
      </c>
      <c r="N264" s="2">
        <f t="shared" si="14"/>
        <v>56325491359</v>
      </c>
      <c r="O264" s="12">
        <f t="shared" si="12"/>
        <v>43435</v>
      </c>
    </row>
    <row r="265" spans="1:15" x14ac:dyDescent="0.3">
      <c r="A265">
        <v>2018</v>
      </c>
      <c r="B265">
        <v>12</v>
      </c>
      <c r="C265" t="s">
        <v>10</v>
      </c>
      <c r="D265" t="s">
        <v>18</v>
      </c>
      <c r="E265">
        <v>3799</v>
      </c>
      <c r="F265" s="2">
        <v>43297</v>
      </c>
      <c r="G265" s="1">
        <v>164485303</v>
      </c>
      <c r="H265">
        <v>3.1E-2</v>
      </c>
      <c r="I265">
        <v>20.78</v>
      </c>
      <c r="J265" s="3">
        <v>2.5</v>
      </c>
      <c r="M265" t="str">
        <f t="shared" si="13"/>
        <v>High Growth</v>
      </c>
      <c r="N265" s="2">
        <f t="shared" si="14"/>
        <v>56325491359</v>
      </c>
      <c r="O265" s="12">
        <f t="shared" si="12"/>
        <v>43435</v>
      </c>
    </row>
    <row r="266" spans="1:15" x14ac:dyDescent="0.3">
      <c r="A266">
        <v>2018</v>
      </c>
      <c r="B266">
        <v>12</v>
      </c>
      <c r="C266" t="s">
        <v>19</v>
      </c>
      <c r="D266" t="s">
        <v>11</v>
      </c>
      <c r="E266">
        <v>7119</v>
      </c>
      <c r="F266" s="2">
        <v>46036</v>
      </c>
      <c r="G266" s="1">
        <v>327730284</v>
      </c>
      <c r="H266">
        <v>0.02</v>
      </c>
      <c r="I266">
        <v>15.82</v>
      </c>
      <c r="J266" s="3">
        <v>1.25</v>
      </c>
      <c r="M266" t="str">
        <f t="shared" si="13"/>
        <v>Low Growth</v>
      </c>
      <c r="N266" s="2">
        <f t="shared" si="14"/>
        <v>58905926051</v>
      </c>
      <c r="O266" s="12">
        <f t="shared" si="12"/>
        <v>43435</v>
      </c>
    </row>
    <row r="267" spans="1:15" x14ac:dyDescent="0.3">
      <c r="A267">
        <v>2018</v>
      </c>
      <c r="B267">
        <v>12</v>
      </c>
      <c r="C267" t="s">
        <v>19</v>
      </c>
      <c r="D267" t="s">
        <v>12</v>
      </c>
      <c r="E267">
        <v>6072</v>
      </c>
      <c r="F267" s="2">
        <v>60795</v>
      </c>
      <c r="G267" s="1">
        <v>369147240</v>
      </c>
      <c r="H267">
        <v>1.4E-2</v>
      </c>
      <c r="I267">
        <v>15.82</v>
      </c>
      <c r="J267" s="3">
        <v>1.25</v>
      </c>
      <c r="M267" t="str">
        <f t="shared" si="13"/>
        <v>Low Growth</v>
      </c>
      <c r="N267" s="2">
        <f t="shared" si="14"/>
        <v>58905926051</v>
      </c>
      <c r="O267" s="12">
        <f t="shared" si="12"/>
        <v>43435</v>
      </c>
    </row>
    <row r="268" spans="1:15" x14ac:dyDescent="0.3">
      <c r="A268">
        <v>2018</v>
      </c>
      <c r="B268">
        <v>12</v>
      </c>
      <c r="C268" t="s">
        <v>19</v>
      </c>
      <c r="D268" t="s">
        <v>13</v>
      </c>
      <c r="E268">
        <v>7189</v>
      </c>
      <c r="F268" s="2">
        <v>58162</v>
      </c>
      <c r="G268" s="1">
        <v>418126618</v>
      </c>
      <c r="H268">
        <v>0.02</v>
      </c>
      <c r="I268">
        <v>15.82</v>
      </c>
      <c r="J268" s="3">
        <v>1.25</v>
      </c>
      <c r="M268" t="str">
        <f t="shared" si="13"/>
        <v>Low Growth</v>
      </c>
      <c r="N268" s="2">
        <f t="shared" si="14"/>
        <v>58905926051</v>
      </c>
      <c r="O268" s="12">
        <f t="shared" si="12"/>
        <v>43435</v>
      </c>
    </row>
    <row r="269" spans="1:15" x14ac:dyDescent="0.3">
      <c r="A269">
        <v>2018</v>
      </c>
      <c r="B269">
        <v>12</v>
      </c>
      <c r="C269" t="s">
        <v>19</v>
      </c>
      <c r="D269" t="s">
        <v>14</v>
      </c>
      <c r="E269">
        <v>5769</v>
      </c>
      <c r="F269" s="2">
        <v>68346</v>
      </c>
      <c r="G269" s="1">
        <v>394288074</v>
      </c>
      <c r="H269">
        <v>0.03</v>
      </c>
      <c r="I269">
        <v>15.82</v>
      </c>
      <c r="J269" s="3">
        <v>1.25</v>
      </c>
      <c r="M269" t="str">
        <f t="shared" si="13"/>
        <v>Low Growth</v>
      </c>
      <c r="N269" s="2">
        <f t="shared" si="14"/>
        <v>58905926051</v>
      </c>
      <c r="O269" s="12">
        <f t="shared" si="12"/>
        <v>43435</v>
      </c>
    </row>
    <row r="270" spans="1:15" x14ac:dyDescent="0.3">
      <c r="A270">
        <v>2018</v>
      </c>
      <c r="B270">
        <v>12</v>
      </c>
      <c r="C270" t="s">
        <v>19</v>
      </c>
      <c r="D270" t="s">
        <v>15</v>
      </c>
      <c r="E270">
        <v>4500</v>
      </c>
      <c r="F270" s="2">
        <v>91996</v>
      </c>
      <c r="G270" s="1">
        <v>413982000</v>
      </c>
      <c r="H270">
        <v>2.5000000000000001E-2</v>
      </c>
      <c r="I270">
        <v>15.82</v>
      </c>
      <c r="J270" s="3">
        <v>1.25</v>
      </c>
      <c r="M270" t="str">
        <f t="shared" si="13"/>
        <v>Low Growth</v>
      </c>
      <c r="N270" s="2">
        <f t="shared" si="14"/>
        <v>58905926051</v>
      </c>
      <c r="O270" s="12">
        <f t="shared" si="12"/>
        <v>43435</v>
      </c>
    </row>
    <row r="271" spans="1:15" x14ac:dyDescent="0.3">
      <c r="A271">
        <v>2018</v>
      </c>
      <c r="B271">
        <v>12</v>
      </c>
      <c r="C271" t="s">
        <v>19</v>
      </c>
      <c r="D271" t="s">
        <v>16</v>
      </c>
      <c r="E271">
        <v>4193</v>
      </c>
      <c r="F271" s="2">
        <v>64285</v>
      </c>
      <c r="G271" s="1">
        <v>269547005</v>
      </c>
      <c r="H271">
        <v>0.04</v>
      </c>
      <c r="I271">
        <v>15.82</v>
      </c>
      <c r="J271" s="3">
        <v>1.25</v>
      </c>
      <c r="M271" t="str">
        <f t="shared" si="13"/>
        <v>High Growth</v>
      </c>
      <c r="N271" s="2">
        <f t="shared" si="14"/>
        <v>58905926051</v>
      </c>
      <c r="O271" s="12">
        <f t="shared" si="12"/>
        <v>43435</v>
      </c>
    </row>
    <row r="272" spans="1:15" x14ac:dyDescent="0.3">
      <c r="A272">
        <v>2018</v>
      </c>
      <c r="B272">
        <v>12</v>
      </c>
      <c r="C272" t="s">
        <v>19</v>
      </c>
      <c r="D272" t="s">
        <v>17</v>
      </c>
      <c r="E272">
        <v>7492</v>
      </c>
      <c r="F272" s="2">
        <v>75400</v>
      </c>
      <c r="G272" s="1">
        <v>564896800</v>
      </c>
      <c r="H272">
        <v>2.5999999999999999E-2</v>
      </c>
      <c r="I272">
        <v>15.82</v>
      </c>
      <c r="J272" s="3">
        <v>1.25</v>
      </c>
      <c r="M272" t="str">
        <f t="shared" si="13"/>
        <v>Low Growth</v>
      </c>
      <c r="N272" s="2">
        <f t="shared" si="14"/>
        <v>58905926051</v>
      </c>
      <c r="O272" s="12">
        <f t="shared" si="12"/>
        <v>43435</v>
      </c>
    </row>
    <row r="273" spans="1:15" x14ac:dyDescent="0.3">
      <c r="A273">
        <v>2018</v>
      </c>
      <c r="B273">
        <v>12</v>
      </c>
      <c r="C273" t="s">
        <v>19</v>
      </c>
      <c r="D273" t="s">
        <v>18</v>
      </c>
      <c r="E273">
        <v>4624</v>
      </c>
      <c r="F273" s="2">
        <v>42828</v>
      </c>
      <c r="G273" s="1">
        <v>198036672</v>
      </c>
      <c r="H273">
        <v>3.1E-2</v>
      </c>
      <c r="I273">
        <v>15.82</v>
      </c>
      <c r="J273" s="3">
        <v>1.25</v>
      </c>
      <c r="M273" t="str">
        <f t="shared" si="13"/>
        <v>High Growth</v>
      </c>
      <c r="N273" s="2">
        <f t="shared" si="14"/>
        <v>58905926051</v>
      </c>
      <c r="O273" s="12">
        <f t="shared" si="12"/>
        <v>43435</v>
      </c>
    </row>
    <row r="274" spans="1:15" x14ac:dyDescent="0.3">
      <c r="A274">
        <v>2018</v>
      </c>
      <c r="B274">
        <v>12</v>
      </c>
      <c r="C274" t="s">
        <v>20</v>
      </c>
      <c r="D274" t="s">
        <v>11</v>
      </c>
      <c r="E274">
        <v>7464</v>
      </c>
      <c r="F274" s="2">
        <v>48180</v>
      </c>
      <c r="G274" s="1">
        <v>359615520</v>
      </c>
      <c r="H274">
        <v>1.0999999999999999E-2</v>
      </c>
      <c r="I274">
        <v>18.760000000000002</v>
      </c>
      <c r="J274" s="3">
        <v>3.5</v>
      </c>
      <c r="M274" t="str">
        <f t="shared" si="13"/>
        <v>Low Growth</v>
      </c>
      <c r="N274" s="2">
        <f t="shared" si="14"/>
        <v>54599997295</v>
      </c>
      <c r="O274" s="12">
        <f t="shared" si="12"/>
        <v>43435</v>
      </c>
    </row>
    <row r="275" spans="1:15" x14ac:dyDescent="0.3">
      <c r="A275">
        <v>2018</v>
      </c>
      <c r="B275">
        <v>12</v>
      </c>
      <c r="C275" t="s">
        <v>20</v>
      </c>
      <c r="D275" t="s">
        <v>12</v>
      </c>
      <c r="E275">
        <v>3361</v>
      </c>
      <c r="F275" s="2">
        <v>60825</v>
      </c>
      <c r="G275" s="1">
        <v>204432825</v>
      </c>
      <c r="H275">
        <v>2.5999999999999999E-2</v>
      </c>
      <c r="I275">
        <v>18.760000000000002</v>
      </c>
      <c r="J275" s="3">
        <v>3.5</v>
      </c>
      <c r="M275" t="str">
        <f t="shared" si="13"/>
        <v>Low Growth</v>
      </c>
      <c r="N275" s="2">
        <f t="shared" si="14"/>
        <v>54599997295</v>
      </c>
      <c r="O275" s="12">
        <f t="shared" si="12"/>
        <v>43435</v>
      </c>
    </row>
    <row r="276" spans="1:15" x14ac:dyDescent="0.3">
      <c r="A276">
        <v>2018</v>
      </c>
      <c r="B276">
        <v>12</v>
      </c>
      <c r="C276" t="s">
        <v>20</v>
      </c>
      <c r="D276" t="s">
        <v>13</v>
      </c>
      <c r="E276">
        <v>5838</v>
      </c>
      <c r="F276" s="2">
        <v>59741</v>
      </c>
      <c r="G276" s="1">
        <v>348767958</v>
      </c>
      <c r="H276">
        <v>1.6E-2</v>
      </c>
      <c r="I276">
        <v>18.760000000000002</v>
      </c>
      <c r="J276" s="3">
        <v>3.5</v>
      </c>
      <c r="M276" t="str">
        <f t="shared" si="13"/>
        <v>Low Growth</v>
      </c>
      <c r="N276" s="2">
        <f t="shared" si="14"/>
        <v>54599997295</v>
      </c>
      <c r="O276" s="12">
        <f t="shared" si="12"/>
        <v>43435</v>
      </c>
    </row>
    <row r="277" spans="1:15" x14ac:dyDescent="0.3">
      <c r="A277">
        <v>2018</v>
      </c>
      <c r="B277">
        <v>12</v>
      </c>
      <c r="C277" t="s">
        <v>20</v>
      </c>
      <c r="D277" t="s">
        <v>14</v>
      </c>
      <c r="E277">
        <v>7147</v>
      </c>
      <c r="F277" s="2">
        <v>69129</v>
      </c>
      <c r="G277" s="1">
        <v>494064963</v>
      </c>
      <c r="H277">
        <v>1.2E-2</v>
      </c>
      <c r="I277">
        <v>18.760000000000002</v>
      </c>
      <c r="J277" s="3">
        <v>3.5</v>
      </c>
      <c r="M277" t="str">
        <f t="shared" si="13"/>
        <v>Low Growth</v>
      </c>
      <c r="N277" s="2">
        <f t="shared" si="14"/>
        <v>54599997295</v>
      </c>
      <c r="O277" s="12">
        <f t="shared" si="12"/>
        <v>43435</v>
      </c>
    </row>
    <row r="278" spans="1:15" x14ac:dyDescent="0.3">
      <c r="A278">
        <v>2018</v>
      </c>
      <c r="B278">
        <v>12</v>
      </c>
      <c r="C278" t="s">
        <v>20</v>
      </c>
      <c r="D278" t="s">
        <v>15</v>
      </c>
      <c r="E278">
        <v>5393</v>
      </c>
      <c r="F278" s="2">
        <v>91547</v>
      </c>
      <c r="G278" s="1">
        <v>493712971</v>
      </c>
      <c r="H278">
        <v>3.5999999999999997E-2</v>
      </c>
      <c r="I278">
        <v>18.760000000000002</v>
      </c>
      <c r="J278" s="3">
        <v>3.5</v>
      </c>
      <c r="M278" t="str">
        <f t="shared" si="13"/>
        <v>High Growth</v>
      </c>
      <c r="N278" s="2">
        <f t="shared" si="14"/>
        <v>54599997295</v>
      </c>
      <c r="O278" s="12">
        <f t="shared" si="12"/>
        <v>43435</v>
      </c>
    </row>
    <row r="279" spans="1:15" x14ac:dyDescent="0.3">
      <c r="A279">
        <v>2018</v>
      </c>
      <c r="B279">
        <v>12</v>
      </c>
      <c r="C279" t="s">
        <v>20</v>
      </c>
      <c r="D279" t="s">
        <v>16</v>
      </c>
      <c r="E279">
        <v>3073</v>
      </c>
      <c r="F279" s="2">
        <v>64985</v>
      </c>
      <c r="G279" s="1">
        <v>199698905</v>
      </c>
      <c r="H279">
        <v>2.3E-2</v>
      </c>
      <c r="I279">
        <v>18.760000000000002</v>
      </c>
      <c r="J279" s="3">
        <v>3.5</v>
      </c>
      <c r="M279" t="str">
        <f t="shared" si="13"/>
        <v>Low Growth</v>
      </c>
      <c r="N279" s="2">
        <f t="shared" si="14"/>
        <v>54599997295</v>
      </c>
      <c r="O279" s="12">
        <f t="shared" si="12"/>
        <v>43435</v>
      </c>
    </row>
    <row r="280" spans="1:15" x14ac:dyDescent="0.3">
      <c r="A280">
        <v>2018</v>
      </c>
      <c r="B280">
        <v>12</v>
      </c>
      <c r="C280" t="s">
        <v>20</v>
      </c>
      <c r="D280" t="s">
        <v>17</v>
      </c>
      <c r="E280">
        <v>8627</v>
      </c>
      <c r="F280" s="2">
        <v>74256</v>
      </c>
      <c r="G280" s="1">
        <v>640606512</v>
      </c>
      <c r="H280">
        <v>1.7999999999999999E-2</v>
      </c>
      <c r="I280">
        <v>18.760000000000002</v>
      </c>
      <c r="J280" s="3">
        <v>3.5</v>
      </c>
      <c r="M280" t="str">
        <f t="shared" si="13"/>
        <v>Low Growth</v>
      </c>
      <c r="N280" s="2">
        <f t="shared" si="14"/>
        <v>54599997295</v>
      </c>
      <c r="O280" s="12">
        <f t="shared" si="12"/>
        <v>43435</v>
      </c>
    </row>
    <row r="281" spans="1:15" x14ac:dyDescent="0.3">
      <c r="A281">
        <v>2018</v>
      </c>
      <c r="B281">
        <v>12</v>
      </c>
      <c r="C281" t="s">
        <v>20</v>
      </c>
      <c r="D281" t="s">
        <v>18</v>
      </c>
      <c r="E281">
        <v>5020</v>
      </c>
      <c r="F281" s="2">
        <v>40359</v>
      </c>
      <c r="G281" s="1">
        <v>202602180</v>
      </c>
      <c r="H281">
        <v>1.4E-2</v>
      </c>
      <c r="I281">
        <v>18.760000000000002</v>
      </c>
      <c r="J281" s="3">
        <v>3.5</v>
      </c>
      <c r="M281" t="str">
        <f t="shared" si="13"/>
        <v>Low Growth</v>
      </c>
      <c r="N281" s="2">
        <f t="shared" si="14"/>
        <v>54599997295</v>
      </c>
      <c r="O281" s="12">
        <f t="shared" si="12"/>
        <v>43435</v>
      </c>
    </row>
    <row r="282" spans="1:15" x14ac:dyDescent="0.3">
      <c r="A282">
        <v>2018</v>
      </c>
      <c r="B282">
        <v>12</v>
      </c>
      <c r="C282" t="s">
        <v>21</v>
      </c>
      <c r="D282" t="s">
        <v>11</v>
      </c>
      <c r="E282">
        <v>3857</v>
      </c>
      <c r="F282" s="2">
        <v>46585</v>
      </c>
      <c r="G282" s="1">
        <v>179678345</v>
      </c>
      <c r="H282">
        <v>2.3E-2</v>
      </c>
      <c r="I282">
        <v>6.08</v>
      </c>
      <c r="J282" s="3">
        <v>3.75</v>
      </c>
      <c r="M282" t="str">
        <f t="shared" si="13"/>
        <v>Low Growth</v>
      </c>
      <c r="N282" s="2">
        <f t="shared" si="14"/>
        <v>55528754190</v>
      </c>
      <c r="O282" s="12">
        <f t="shared" si="12"/>
        <v>43435</v>
      </c>
    </row>
    <row r="283" spans="1:15" x14ac:dyDescent="0.3">
      <c r="A283">
        <v>2018</v>
      </c>
      <c r="B283">
        <v>12</v>
      </c>
      <c r="C283" t="s">
        <v>21</v>
      </c>
      <c r="D283" t="s">
        <v>12</v>
      </c>
      <c r="E283">
        <v>8637</v>
      </c>
      <c r="F283" s="2">
        <v>61247</v>
      </c>
      <c r="G283" s="1">
        <v>528990339</v>
      </c>
      <c r="H283">
        <v>1.6E-2</v>
      </c>
      <c r="I283">
        <v>6.08</v>
      </c>
      <c r="J283" s="3">
        <v>3.75</v>
      </c>
      <c r="M283" t="str">
        <f t="shared" si="13"/>
        <v>Low Growth</v>
      </c>
      <c r="N283" s="2">
        <f t="shared" si="14"/>
        <v>55528754190</v>
      </c>
      <c r="O283" s="12">
        <f t="shared" si="12"/>
        <v>43435</v>
      </c>
    </row>
    <row r="284" spans="1:15" x14ac:dyDescent="0.3">
      <c r="A284">
        <v>2018</v>
      </c>
      <c r="B284">
        <v>12</v>
      </c>
      <c r="C284" t="s">
        <v>21</v>
      </c>
      <c r="D284" t="s">
        <v>13</v>
      </c>
      <c r="E284">
        <v>4328</v>
      </c>
      <c r="F284" s="2">
        <v>56988</v>
      </c>
      <c r="G284" s="1">
        <v>246644064</v>
      </c>
      <c r="H284">
        <v>2.5999999999999999E-2</v>
      </c>
      <c r="I284">
        <v>6.08</v>
      </c>
      <c r="J284" s="3">
        <v>3.75</v>
      </c>
      <c r="M284" t="str">
        <f t="shared" si="13"/>
        <v>Low Growth</v>
      </c>
      <c r="N284" s="2">
        <f t="shared" si="14"/>
        <v>55528754190</v>
      </c>
      <c r="O284" s="12">
        <f t="shared" si="12"/>
        <v>43435</v>
      </c>
    </row>
    <row r="285" spans="1:15" x14ac:dyDescent="0.3">
      <c r="A285">
        <v>2018</v>
      </c>
      <c r="B285">
        <v>12</v>
      </c>
      <c r="C285" t="s">
        <v>21</v>
      </c>
      <c r="D285" t="s">
        <v>14</v>
      </c>
      <c r="E285">
        <v>3054</v>
      </c>
      <c r="F285" s="2">
        <v>68219</v>
      </c>
      <c r="G285" s="1">
        <v>208340826</v>
      </c>
      <c r="H285">
        <v>2.1999999999999999E-2</v>
      </c>
      <c r="I285">
        <v>6.08</v>
      </c>
      <c r="J285" s="3">
        <v>3.75</v>
      </c>
      <c r="M285" t="str">
        <f t="shared" si="13"/>
        <v>Low Growth</v>
      </c>
      <c r="N285" s="2">
        <f t="shared" si="14"/>
        <v>55528754190</v>
      </c>
      <c r="O285" s="12">
        <f t="shared" si="12"/>
        <v>43435</v>
      </c>
    </row>
    <row r="286" spans="1:15" x14ac:dyDescent="0.3">
      <c r="A286">
        <v>2018</v>
      </c>
      <c r="B286">
        <v>12</v>
      </c>
      <c r="C286" t="s">
        <v>21</v>
      </c>
      <c r="D286" t="s">
        <v>15</v>
      </c>
      <c r="E286">
        <v>10514</v>
      </c>
      <c r="F286" s="2">
        <v>90730</v>
      </c>
      <c r="G286" s="1">
        <v>953935220</v>
      </c>
      <c r="H286">
        <v>1.6E-2</v>
      </c>
      <c r="I286">
        <v>6.08</v>
      </c>
      <c r="J286" s="3">
        <v>3.75</v>
      </c>
      <c r="M286" t="str">
        <f t="shared" si="13"/>
        <v>Low Growth</v>
      </c>
      <c r="N286" s="2">
        <f t="shared" si="14"/>
        <v>55528754190</v>
      </c>
      <c r="O286" s="12">
        <f t="shared" si="12"/>
        <v>43435</v>
      </c>
    </row>
    <row r="287" spans="1:15" x14ac:dyDescent="0.3">
      <c r="A287">
        <v>2018</v>
      </c>
      <c r="B287">
        <v>12</v>
      </c>
      <c r="C287" t="s">
        <v>21</v>
      </c>
      <c r="D287" t="s">
        <v>16</v>
      </c>
      <c r="E287">
        <v>3894</v>
      </c>
      <c r="F287" s="2">
        <v>65571</v>
      </c>
      <c r="G287" s="1">
        <v>255333474</v>
      </c>
      <c r="H287">
        <v>2.1999999999999999E-2</v>
      </c>
      <c r="I287">
        <v>6.08</v>
      </c>
      <c r="J287" s="3">
        <v>3.75</v>
      </c>
      <c r="M287" t="str">
        <f t="shared" si="13"/>
        <v>Low Growth</v>
      </c>
      <c r="N287" s="2">
        <f t="shared" si="14"/>
        <v>55528754190</v>
      </c>
      <c r="O287" s="12">
        <f t="shared" si="12"/>
        <v>43435</v>
      </c>
    </row>
    <row r="288" spans="1:15" x14ac:dyDescent="0.3">
      <c r="A288">
        <v>2018</v>
      </c>
      <c r="B288">
        <v>12</v>
      </c>
      <c r="C288" t="s">
        <v>21</v>
      </c>
      <c r="D288" t="s">
        <v>17</v>
      </c>
      <c r="E288">
        <v>12769</v>
      </c>
      <c r="F288" s="2">
        <v>73021</v>
      </c>
      <c r="G288" s="1">
        <v>932405149</v>
      </c>
      <c r="H288">
        <v>1.7999999999999999E-2</v>
      </c>
      <c r="I288">
        <v>6.08</v>
      </c>
      <c r="J288" s="3">
        <v>3.75</v>
      </c>
      <c r="M288" t="str">
        <f t="shared" si="13"/>
        <v>Low Growth</v>
      </c>
      <c r="N288" s="2">
        <f t="shared" si="14"/>
        <v>55528754190</v>
      </c>
      <c r="O288" s="12">
        <f t="shared" si="12"/>
        <v>43435</v>
      </c>
    </row>
    <row r="289" spans="1:15" x14ac:dyDescent="0.3">
      <c r="A289">
        <v>2018</v>
      </c>
      <c r="B289">
        <v>12</v>
      </c>
      <c r="C289" t="s">
        <v>21</v>
      </c>
      <c r="D289" t="s">
        <v>18</v>
      </c>
      <c r="E289">
        <v>7775</v>
      </c>
      <c r="F289" s="2">
        <v>43191</v>
      </c>
      <c r="G289" s="1">
        <v>335810025</v>
      </c>
      <c r="H289">
        <v>3.7999999999999999E-2</v>
      </c>
      <c r="I289">
        <v>6.08</v>
      </c>
      <c r="J289" s="3">
        <v>3.75</v>
      </c>
      <c r="M289" t="str">
        <f t="shared" si="13"/>
        <v>High Growth</v>
      </c>
      <c r="N289" s="2">
        <f t="shared" si="14"/>
        <v>55528754190</v>
      </c>
      <c r="O289" s="12">
        <f t="shared" si="12"/>
        <v>43435</v>
      </c>
    </row>
    <row r="290" spans="1:15" x14ac:dyDescent="0.3">
      <c r="A290">
        <v>2019</v>
      </c>
      <c r="B290">
        <v>1</v>
      </c>
      <c r="C290" t="s">
        <v>10</v>
      </c>
      <c r="D290" t="s">
        <v>11</v>
      </c>
      <c r="E290">
        <v>7462</v>
      </c>
      <c r="F290" s="2">
        <v>48506</v>
      </c>
      <c r="G290" s="1">
        <v>361951772</v>
      </c>
      <c r="H290">
        <v>5.6000000000000001E-2</v>
      </c>
      <c r="I290">
        <v>19.309999999999999</v>
      </c>
      <c r="J290" s="3">
        <v>2.44</v>
      </c>
      <c r="M290" t="str">
        <f t="shared" si="13"/>
        <v>High Growth</v>
      </c>
      <c r="N290" s="2">
        <f t="shared" si="14"/>
        <v>56325491359</v>
      </c>
      <c r="O290" s="12">
        <f t="shared" si="12"/>
        <v>43466</v>
      </c>
    </row>
    <row r="291" spans="1:15" x14ac:dyDescent="0.3">
      <c r="A291">
        <v>2019</v>
      </c>
      <c r="B291">
        <v>1</v>
      </c>
      <c r="C291" t="s">
        <v>10</v>
      </c>
      <c r="D291" t="s">
        <v>12</v>
      </c>
      <c r="E291">
        <v>5730</v>
      </c>
      <c r="F291" s="2">
        <v>60515</v>
      </c>
      <c r="G291" s="1">
        <v>346750950</v>
      </c>
      <c r="H291">
        <v>0.04</v>
      </c>
      <c r="I291">
        <v>19.309999999999999</v>
      </c>
      <c r="J291" s="3">
        <v>2.44</v>
      </c>
      <c r="M291" t="str">
        <f t="shared" si="13"/>
        <v>High Growth</v>
      </c>
      <c r="N291" s="2">
        <f t="shared" si="14"/>
        <v>56325491359</v>
      </c>
      <c r="O291" s="12">
        <f t="shared" si="12"/>
        <v>43466</v>
      </c>
    </row>
    <row r="292" spans="1:15" x14ac:dyDescent="0.3">
      <c r="A292">
        <v>2019</v>
      </c>
      <c r="B292">
        <v>1</v>
      </c>
      <c r="C292" t="s">
        <v>10</v>
      </c>
      <c r="D292" t="s">
        <v>13</v>
      </c>
      <c r="E292">
        <v>9556</v>
      </c>
      <c r="F292" s="2">
        <v>56886</v>
      </c>
      <c r="G292" s="1">
        <v>543602616</v>
      </c>
      <c r="H292">
        <v>3.3000000000000002E-2</v>
      </c>
      <c r="I292">
        <v>19.309999999999999</v>
      </c>
      <c r="J292" s="3">
        <v>2.44</v>
      </c>
      <c r="M292" t="str">
        <f t="shared" si="13"/>
        <v>High Growth</v>
      </c>
      <c r="N292" s="2">
        <f t="shared" si="14"/>
        <v>56325491359</v>
      </c>
      <c r="O292" s="12">
        <f t="shared" si="12"/>
        <v>43466</v>
      </c>
    </row>
    <row r="293" spans="1:15" x14ac:dyDescent="0.3">
      <c r="A293">
        <v>2019</v>
      </c>
      <c r="B293">
        <v>1</v>
      </c>
      <c r="C293" t="s">
        <v>10</v>
      </c>
      <c r="D293" t="s">
        <v>14</v>
      </c>
      <c r="E293">
        <v>5229</v>
      </c>
      <c r="F293" s="2">
        <v>69204</v>
      </c>
      <c r="G293" s="1">
        <v>361867716</v>
      </c>
      <c r="H293">
        <v>4.2999999999999997E-2</v>
      </c>
      <c r="I293">
        <v>19.309999999999999</v>
      </c>
      <c r="J293" s="3">
        <v>2.44</v>
      </c>
      <c r="M293" t="str">
        <f t="shared" si="13"/>
        <v>High Growth</v>
      </c>
      <c r="N293" s="2">
        <f t="shared" si="14"/>
        <v>56325491359</v>
      </c>
      <c r="O293" s="12">
        <f t="shared" si="12"/>
        <v>43466</v>
      </c>
    </row>
    <row r="294" spans="1:15" x14ac:dyDescent="0.3">
      <c r="A294">
        <v>2019</v>
      </c>
      <c r="B294">
        <v>1</v>
      </c>
      <c r="C294" t="s">
        <v>10</v>
      </c>
      <c r="D294" t="s">
        <v>15</v>
      </c>
      <c r="E294">
        <v>3520</v>
      </c>
      <c r="F294" s="2">
        <v>91562</v>
      </c>
      <c r="G294" s="1">
        <v>322298240</v>
      </c>
      <c r="H294">
        <v>5.6000000000000001E-2</v>
      </c>
      <c r="I294">
        <v>19.309999999999999</v>
      </c>
      <c r="J294" s="3">
        <v>2.44</v>
      </c>
      <c r="M294" t="str">
        <f t="shared" si="13"/>
        <v>High Growth</v>
      </c>
      <c r="N294" s="2">
        <f t="shared" si="14"/>
        <v>56325491359</v>
      </c>
      <c r="O294" s="12">
        <f t="shared" si="12"/>
        <v>43466</v>
      </c>
    </row>
    <row r="295" spans="1:15" x14ac:dyDescent="0.3">
      <c r="A295">
        <v>2019</v>
      </c>
      <c r="B295">
        <v>1</v>
      </c>
      <c r="C295" t="s">
        <v>10</v>
      </c>
      <c r="D295" t="s">
        <v>16</v>
      </c>
      <c r="E295">
        <v>6143</v>
      </c>
      <c r="F295" s="2">
        <v>65896</v>
      </c>
      <c r="G295" s="1">
        <v>404799128</v>
      </c>
      <c r="H295">
        <v>5.8000000000000003E-2</v>
      </c>
      <c r="I295">
        <v>19.309999999999999</v>
      </c>
      <c r="J295" s="3">
        <v>2.44</v>
      </c>
      <c r="M295" t="str">
        <f t="shared" si="13"/>
        <v>High Growth</v>
      </c>
      <c r="N295" s="2">
        <f t="shared" si="14"/>
        <v>56325491359</v>
      </c>
      <c r="O295" s="12">
        <f t="shared" si="12"/>
        <v>43466</v>
      </c>
    </row>
    <row r="296" spans="1:15" x14ac:dyDescent="0.3">
      <c r="A296">
        <v>2019</v>
      </c>
      <c r="B296">
        <v>1</v>
      </c>
      <c r="C296" t="s">
        <v>10</v>
      </c>
      <c r="D296" t="s">
        <v>17</v>
      </c>
      <c r="E296">
        <v>3413</v>
      </c>
      <c r="F296" s="2">
        <v>73083</v>
      </c>
      <c r="G296" s="1">
        <v>249432279</v>
      </c>
      <c r="H296">
        <v>4.3999999999999997E-2</v>
      </c>
      <c r="I296">
        <v>19.309999999999999</v>
      </c>
      <c r="J296" s="3">
        <v>2.44</v>
      </c>
      <c r="M296" t="str">
        <f t="shared" si="13"/>
        <v>High Growth</v>
      </c>
      <c r="N296" s="2">
        <f t="shared" si="14"/>
        <v>56325491359</v>
      </c>
      <c r="O296" s="12">
        <f t="shared" si="12"/>
        <v>43466</v>
      </c>
    </row>
    <row r="297" spans="1:15" x14ac:dyDescent="0.3">
      <c r="A297">
        <v>2019</v>
      </c>
      <c r="B297">
        <v>1</v>
      </c>
      <c r="C297" t="s">
        <v>10</v>
      </c>
      <c r="D297" t="s">
        <v>18</v>
      </c>
      <c r="E297">
        <v>4092</v>
      </c>
      <c r="F297" s="2">
        <v>41976</v>
      </c>
      <c r="G297" s="1">
        <v>171765792</v>
      </c>
      <c r="H297">
        <v>5.0999999999999997E-2</v>
      </c>
      <c r="I297">
        <v>19.309999999999999</v>
      </c>
      <c r="J297" s="3">
        <v>2.44</v>
      </c>
      <c r="M297" t="str">
        <f t="shared" si="13"/>
        <v>High Growth</v>
      </c>
      <c r="N297" s="2">
        <f t="shared" si="14"/>
        <v>56325491359</v>
      </c>
      <c r="O297" s="12">
        <f t="shared" si="12"/>
        <v>43466</v>
      </c>
    </row>
    <row r="298" spans="1:15" x14ac:dyDescent="0.3">
      <c r="A298">
        <v>2019</v>
      </c>
      <c r="B298">
        <v>1</v>
      </c>
      <c r="C298" t="s">
        <v>19</v>
      </c>
      <c r="D298" t="s">
        <v>11</v>
      </c>
      <c r="E298">
        <v>3359</v>
      </c>
      <c r="F298" s="2">
        <v>47855</v>
      </c>
      <c r="G298" s="1">
        <v>160744945</v>
      </c>
      <c r="H298">
        <v>3.7999999999999999E-2</v>
      </c>
      <c r="I298">
        <v>16.25</v>
      </c>
      <c r="J298" s="3">
        <v>1.1499999999999999</v>
      </c>
      <c r="M298" t="str">
        <f t="shared" si="13"/>
        <v>High Growth</v>
      </c>
      <c r="N298" s="2">
        <f t="shared" si="14"/>
        <v>58905926051</v>
      </c>
      <c r="O298" s="12">
        <f t="shared" si="12"/>
        <v>43466</v>
      </c>
    </row>
    <row r="299" spans="1:15" x14ac:dyDescent="0.3">
      <c r="A299">
        <v>2019</v>
      </c>
      <c r="B299">
        <v>1</v>
      </c>
      <c r="C299" t="s">
        <v>19</v>
      </c>
      <c r="D299" t="s">
        <v>12</v>
      </c>
      <c r="E299">
        <v>5436</v>
      </c>
      <c r="F299" s="2">
        <v>60792</v>
      </c>
      <c r="G299" s="1">
        <v>330465312</v>
      </c>
      <c r="H299">
        <v>3.7999999999999999E-2</v>
      </c>
      <c r="I299">
        <v>16.25</v>
      </c>
      <c r="J299" s="3">
        <v>1.1499999999999999</v>
      </c>
      <c r="M299" t="str">
        <f t="shared" si="13"/>
        <v>High Growth</v>
      </c>
      <c r="N299" s="2">
        <f t="shared" si="14"/>
        <v>58905926051</v>
      </c>
      <c r="O299" s="12">
        <f t="shared" si="12"/>
        <v>43466</v>
      </c>
    </row>
    <row r="300" spans="1:15" x14ac:dyDescent="0.3">
      <c r="A300">
        <v>2019</v>
      </c>
      <c r="B300">
        <v>1</v>
      </c>
      <c r="C300" t="s">
        <v>19</v>
      </c>
      <c r="D300" t="s">
        <v>13</v>
      </c>
      <c r="E300">
        <v>3220</v>
      </c>
      <c r="F300" s="2">
        <v>58255</v>
      </c>
      <c r="G300" s="1">
        <v>187581100</v>
      </c>
      <c r="H300">
        <v>5.5E-2</v>
      </c>
      <c r="I300">
        <v>16.25</v>
      </c>
      <c r="J300" s="3">
        <v>1.1499999999999999</v>
      </c>
      <c r="M300" t="str">
        <f t="shared" si="13"/>
        <v>High Growth</v>
      </c>
      <c r="N300" s="2">
        <f t="shared" si="14"/>
        <v>58905926051</v>
      </c>
      <c r="O300" s="12">
        <f t="shared" si="12"/>
        <v>43466</v>
      </c>
    </row>
    <row r="301" spans="1:15" x14ac:dyDescent="0.3">
      <c r="A301">
        <v>2019</v>
      </c>
      <c r="B301">
        <v>1</v>
      </c>
      <c r="C301" t="s">
        <v>19</v>
      </c>
      <c r="D301" t="s">
        <v>14</v>
      </c>
      <c r="E301">
        <v>5978</v>
      </c>
      <c r="F301" s="2">
        <v>68607</v>
      </c>
      <c r="G301" s="1">
        <v>410132646</v>
      </c>
      <c r="H301">
        <v>4.2000000000000003E-2</v>
      </c>
      <c r="I301">
        <v>16.25</v>
      </c>
      <c r="J301" s="3">
        <v>1.1499999999999999</v>
      </c>
      <c r="M301" t="str">
        <f t="shared" si="13"/>
        <v>High Growth</v>
      </c>
      <c r="N301" s="2">
        <f t="shared" si="14"/>
        <v>58905926051</v>
      </c>
      <c r="O301" s="12">
        <f t="shared" si="12"/>
        <v>43466</v>
      </c>
    </row>
    <row r="302" spans="1:15" x14ac:dyDescent="0.3">
      <c r="A302">
        <v>2019</v>
      </c>
      <c r="B302">
        <v>1</v>
      </c>
      <c r="C302" t="s">
        <v>19</v>
      </c>
      <c r="D302" t="s">
        <v>15</v>
      </c>
      <c r="E302">
        <v>7513</v>
      </c>
      <c r="F302" s="2">
        <v>93380</v>
      </c>
      <c r="G302" s="1">
        <v>701563940</v>
      </c>
      <c r="H302">
        <v>4.8000000000000001E-2</v>
      </c>
      <c r="I302">
        <v>16.25</v>
      </c>
      <c r="J302" s="3">
        <v>1.1499999999999999</v>
      </c>
      <c r="M302" t="str">
        <f t="shared" si="13"/>
        <v>High Growth</v>
      </c>
      <c r="N302" s="2">
        <f t="shared" si="14"/>
        <v>58905926051</v>
      </c>
      <c r="O302" s="12">
        <f t="shared" si="12"/>
        <v>43466</v>
      </c>
    </row>
    <row r="303" spans="1:15" x14ac:dyDescent="0.3">
      <c r="A303">
        <v>2019</v>
      </c>
      <c r="B303">
        <v>1</v>
      </c>
      <c r="C303" t="s">
        <v>19</v>
      </c>
      <c r="D303" t="s">
        <v>16</v>
      </c>
      <c r="E303">
        <v>10969</v>
      </c>
      <c r="F303" s="2">
        <v>63590</v>
      </c>
      <c r="G303" s="1">
        <v>697518710</v>
      </c>
      <c r="H303">
        <v>4.2999999999999997E-2</v>
      </c>
      <c r="I303">
        <v>16.25</v>
      </c>
      <c r="J303" s="3">
        <v>1.1499999999999999</v>
      </c>
      <c r="M303" t="str">
        <f t="shared" si="13"/>
        <v>High Growth</v>
      </c>
      <c r="N303" s="2">
        <f t="shared" si="14"/>
        <v>58905926051</v>
      </c>
      <c r="O303" s="12">
        <f t="shared" si="12"/>
        <v>43466</v>
      </c>
    </row>
    <row r="304" spans="1:15" x14ac:dyDescent="0.3">
      <c r="A304">
        <v>2019</v>
      </c>
      <c r="B304">
        <v>1</v>
      </c>
      <c r="C304" t="s">
        <v>19</v>
      </c>
      <c r="D304" t="s">
        <v>17</v>
      </c>
      <c r="E304">
        <v>3473</v>
      </c>
      <c r="F304" s="2">
        <v>75434</v>
      </c>
      <c r="G304" s="1">
        <v>261982282</v>
      </c>
      <c r="H304">
        <v>0.05</v>
      </c>
      <c r="I304">
        <v>16.25</v>
      </c>
      <c r="J304" s="3">
        <v>1.1499999999999999</v>
      </c>
      <c r="M304" t="str">
        <f t="shared" si="13"/>
        <v>High Growth</v>
      </c>
      <c r="N304" s="2">
        <f t="shared" si="14"/>
        <v>58905926051</v>
      </c>
      <c r="O304" s="12">
        <f t="shared" si="12"/>
        <v>43466</v>
      </c>
    </row>
    <row r="305" spans="1:15" x14ac:dyDescent="0.3">
      <c r="A305">
        <v>2019</v>
      </c>
      <c r="B305">
        <v>1</v>
      </c>
      <c r="C305" t="s">
        <v>19</v>
      </c>
      <c r="D305" t="s">
        <v>18</v>
      </c>
      <c r="E305">
        <v>3384</v>
      </c>
      <c r="F305" s="2">
        <v>41963</v>
      </c>
      <c r="G305" s="1">
        <v>142002792</v>
      </c>
      <c r="H305">
        <v>5.0999999999999997E-2</v>
      </c>
      <c r="I305">
        <v>16.25</v>
      </c>
      <c r="J305" s="3">
        <v>1.1499999999999999</v>
      </c>
      <c r="M305" t="str">
        <f t="shared" si="13"/>
        <v>High Growth</v>
      </c>
      <c r="N305" s="2">
        <f t="shared" si="14"/>
        <v>58905926051</v>
      </c>
      <c r="O305" s="12">
        <f t="shared" si="12"/>
        <v>43466</v>
      </c>
    </row>
    <row r="306" spans="1:15" x14ac:dyDescent="0.3">
      <c r="A306">
        <v>2019</v>
      </c>
      <c r="B306">
        <v>1</v>
      </c>
      <c r="C306" t="s">
        <v>20</v>
      </c>
      <c r="D306" t="s">
        <v>11</v>
      </c>
      <c r="E306">
        <v>4280</v>
      </c>
      <c r="F306" s="2">
        <v>47016</v>
      </c>
      <c r="G306" s="1">
        <v>201228480</v>
      </c>
      <c r="H306">
        <v>3.1E-2</v>
      </c>
      <c r="I306">
        <v>17.37</v>
      </c>
      <c r="J306" s="3">
        <v>4.25</v>
      </c>
      <c r="M306" t="str">
        <f t="shared" si="13"/>
        <v>High Growth</v>
      </c>
      <c r="N306" s="2">
        <f t="shared" si="14"/>
        <v>54599997295</v>
      </c>
      <c r="O306" s="12">
        <f t="shared" si="12"/>
        <v>43466</v>
      </c>
    </row>
    <row r="307" spans="1:15" x14ac:dyDescent="0.3">
      <c r="A307">
        <v>2019</v>
      </c>
      <c r="B307">
        <v>1</v>
      </c>
      <c r="C307" t="s">
        <v>20</v>
      </c>
      <c r="D307" t="s">
        <v>12</v>
      </c>
      <c r="E307">
        <v>9392</v>
      </c>
      <c r="F307" s="2">
        <v>63902</v>
      </c>
      <c r="G307" s="1">
        <v>600167584</v>
      </c>
      <c r="H307">
        <v>4.2000000000000003E-2</v>
      </c>
      <c r="I307">
        <v>17.37</v>
      </c>
      <c r="J307" s="3">
        <v>4.25</v>
      </c>
      <c r="M307" t="str">
        <f t="shared" si="13"/>
        <v>High Growth</v>
      </c>
      <c r="N307" s="2">
        <f t="shared" si="14"/>
        <v>54599997295</v>
      </c>
      <c r="O307" s="12">
        <f t="shared" si="12"/>
        <v>43466</v>
      </c>
    </row>
    <row r="308" spans="1:15" x14ac:dyDescent="0.3">
      <c r="A308">
        <v>2019</v>
      </c>
      <c r="B308">
        <v>1</v>
      </c>
      <c r="C308" t="s">
        <v>20</v>
      </c>
      <c r="D308" t="s">
        <v>13</v>
      </c>
      <c r="E308">
        <v>7445</v>
      </c>
      <c r="F308" s="2">
        <v>56583</v>
      </c>
      <c r="G308" s="1">
        <v>421260435</v>
      </c>
      <c r="H308">
        <v>5.3999999999999999E-2</v>
      </c>
      <c r="I308">
        <v>17.37</v>
      </c>
      <c r="J308" s="3">
        <v>4.25</v>
      </c>
      <c r="M308" t="str">
        <f t="shared" si="13"/>
        <v>High Growth</v>
      </c>
      <c r="N308" s="2">
        <f t="shared" si="14"/>
        <v>54599997295</v>
      </c>
      <c r="O308" s="12">
        <f t="shared" si="12"/>
        <v>43466</v>
      </c>
    </row>
    <row r="309" spans="1:15" x14ac:dyDescent="0.3">
      <c r="A309">
        <v>2019</v>
      </c>
      <c r="B309">
        <v>1</v>
      </c>
      <c r="C309" t="s">
        <v>20</v>
      </c>
      <c r="D309" t="s">
        <v>14</v>
      </c>
      <c r="E309">
        <v>10847</v>
      </c>
      <c r="F309" s="2">
        <v>68087</v>
      </c>
      <c r="G309" s="1">
        <v>738539689</v>
      </c>
      <c r="H309">
        <v>2.8000000000000001E-2</v>
      </c>
      <c r="I309">
        <v>17.37</v>
      </c>
      <c r="J309" s="3">
        <v>4.25</v>
      </c>
      <c r="M309" t="str">
        <f t="shared" si="13"/>
        <v>Low Growth</v>
      </c>
      <c r="N309" s="2">
        <f t="shared" si="14"/>
        <v>54599997295</v>
      </c>
      <c r="O309" s="12">
        <f t="shared" si="12"/>
        <v>43466</v>
      </c>
    </row>
    <row r="310" spans="1:15" x14ac:dyDescent="0.3">
      <c r="A310">
        <v>2019</v>
      </c>
      <c r="B310">
        <v>1</v>
      </c>
      <c r="C310" t="s">
        <v>20</v>
      </c>
      <c r="D310" t="s">
        <v>15</v>
      </c>
      <c r="E310">
        <v>6152</v>
      </c>
      <c r="F310" s="2">
        <v>92013</v>
      </c>
      <c r="G310" s="1">
        <v>566063976</v>
      </c>
      <c r="H310">
        <v>4.3999999999999997E-2</v>
      </c>
      <c r="I310">
        <v>17.37</v>
      </c>
      <c r="J310" s="3">
        <v>4.25</v>
      </c>
      <c r="M310" t="str">
        <f t="shared" si="13"/>
        <v>High Growth</v>
      </c>
      <c r="N310" s="2">
        <f t="shared" si="14"/>
        <v>54599997295</v>
      </c>
      <c r="O310" s="12">
        <f t="shared" si="12"/>
        <v>43466</v>
      </c>
    </row>
    <row r="311" spans="1:15" x14ac:dyDescent="0.3">
      <c r="A311">
        <v>2019</v>
      </c>
      <c r="B311">
        <v>1</v>
      </c>
      <c r="C311" t="s">
        <v>20</v>
      </c>
      <c r="D311" t="s">
        <v>16</v>
      </c>
      <c r="E311">
        <v>3805</v>
      </c>
      <c r="F311" s="2">
        <v>66566</v>
      </c>
      <c r="G311" s="1">
        <v>253283630</v>
      </c>
      <c r="H311">
        <v>3.3000000000000002E-2</v>
      </c>
      <c r="I311">
        <v>17.37</v>
      </c>
      <c r="J311" s="3">
        <v>4.25</v>
      </c>
      <c r="M311" t="str">
        <f t="shared" si="13"/>
        <v>High Growth</v>
      </c>
      <c r="N311" s="2">
        <f t="shared" si="14"/>
        <v>54599997295</v>
      </c>
      <c r="O311" s="12">
        <f t="shared" si="12"/>
        <v>43466</v>
      </c>
    </row>
    <row r="312" spans="1:15" x14ac:dyDescent="0.3">
      <c r="A312">
        <v>2019</v>
      </c>
      <c r="B312">
        <v>1</v>
      </c>
      <c r="C312" t="s">
        <v>20</v>
      </c>
      <c r="D312" t="s">
        <v>17</v>
      </c>
      <c r="E312">
        <v>10623</v>
      </c>
      <c r="F312" s="2">
        <v>75848</v>
      </c>
      <c r="G312" s="1">
        <v>805733304</v>
      </c>
      <c r="H312">
        <v>5.5E-2</v>
      </c>
      <c r="I312">
        <v>17.37</v>
      </c>
      <c r="J312" s="3">
        <v>4.25</v>
      </c>
      <c r="M312" t="str">
        <f t="shared" si="13"/>
        <v>High Growth</v>
      </c>
      <c r="N312" s="2">
        <f t="shared" si="14"/>
        <v>54599997295</v>
      </c>
      <c r="O312" s="12">
        <f t="shared" si="12"/>
        <v>43466</v>
      </c>
    </row>
    <row r="313" spans="1:15" x14ac:dyDescent="0.3">
      <c r="A313">
        <v>2019</v>
      </c>
      <c r="B313">
        <v>1</v>
      </c>
      <c r="C313" t="s">
        <v>20</v>
      </c>
      <c r="D313" t="s">
        <v>18</v>
      </c>
      <c r="E313">
        <v>4445</v>
      </c>
      <c r="F313" s="2">
        <v>40101</v>
      </c>
      <c r="G313" s="1">
        <v>178248945</v>
      </c>
      <c r="H313">
        <v>3.4000000000000002E-2</v>
      </c>
      <c r="I313">
        <v>17.37</v>
      </c>
      <c r="J313" s="3">
        <v>4.25</v>
      </c>
      <c r="M313" t="str">
        <f t="shared" si="13"/>
        <v>High Growth</v>
      </c>
      <c r="N313" s="2">
        <f t="shared" si="14"/>
        <v>54599997295</v>
      </c>
      <c r="O313" s="12">
        <f t="shared" si="12"/>
        <v>43466</v>
      </c>
    </row>
    <row r="314" spans="1:15" x14ac:dyDescent="0.3">
      <c r="A314">
        <v>2019</v>
      </c>
      <c r="B314">
        <v>1</v>
      </c>
      <c r="C314" t="s">
        <v>21</v>
      </c>
      <c r="D314" t="s">
        <v>11</v>
      </c>
      <c r="E314">
        <v>9032</v>
      </c>
      <c r="F314" s="2">
        <v>49731</v>
      </c>
      <c r="G314" s="1">
        <v>449170392</v>
      </c>
      <c r="H314">
        <v>6.9000000000000006E-2</v>
      </c>
      <c r="I314">
        <v>6.5</v>
      </c>
      <c r="J314" s="3">
        <v>3.26</v>
      </c>
      <c r="M314" t="str">
        <f t="shared" si="13"/>
        <v>High Growth</v>
      </c>
      <c r="N314" s="2">
        <f t="shared" si="14"/>
        <v>55528754190</v>
      </c>
      <c r="O314" s="12">
        <f t="shared" si="12"/>
        <v>43466</v>
      </c>
    </row>
    <row r="315" spans="1:15" x14ac:dyDescent="0.3">
      <c r="A315">
        <v>2019</v>
      </c>
      <c r="B315">
        <v>1</v>
      </c>
      <c r="C315" t="s">
        <v>21</v>
      </c>
      <c r="D315" t="s">
        <v>12</v>
      </c>
      <c r="E315">
        <v>5107</v>
      </c>
      <c r="F315" s="2">
        <v>60713</v>
      </c>
      <c r="G315" s="1">
        <v>310061291</v>
      </c>
      <c r="H315">
        <v>4.4999999999999998E-2</v>
      </c>
      <c r="I315">
        <v>6.5</v>
      </c>
      <c r="J315" s="3">
        <v>3.26</v>
      </c>
      <c r="M315" t="str">
        <f t="shared" si="13"/>
        <v>High Growth</v>
      </c>
      <c r="N315" s="2">
        <f t="shared" si="14"/>
        <v>55528754190</v>
      </c>
      <c r="O315" s="12">
        <f t="shared" si="12"/>
        <v>43466</v>
      </c>
    </row>
    <row r="316" spans="1:15" x14ac:dyDescent="0.3">
      <c r="A316">
        <v>2019</v>
      </c>
      <c r="B316">
        <v>1</v>
      </c>
      <c r="C316" t="s">
        <v>21</v>
      </c>
      <c r="D316" t="s">
        <v>13</v>
      </c>
      <c r="E316">
        <v>11377</v>
      </c>
      <c r="F316" s="2">
        <v>57949</v>
      </c>
      <c r="G316" s="1">
        <v>659285773</v>
      </c>
      <c r="H316">
        <v>3.5999999999999997E-2</v>
      </c>
      <c r="I316">
        <v>6.5</v>
      </c>
      <c r="J316" s="3">
        <v>3.26</v>
      </c>
      <c r="M316" t="str">
        <f t="shared" si="13"/>
        <v>High Growth</v>
      </c>
      <c r="N316" s="2">
        <f t="shared" si="14"/>
        <v>55528754190</v>
      </c>
      <c r="O316" s="12">
        <f t="shared" si="12"/>
        <v>43466</v>
      </c>
    </row>
    <row r="317" spans="1:15" x14ac:dyDescent="0.3">
      <c r="A317">
        <v>2019</v>
      </c>
      <c r="B317">
        <v>1</v>
      </c>
      <c r="C317" t="s">
        <v>21</v>
      </c>
      <c r="D317" t="s">
        <v>14</v>
      </c>
      <c r="E317">
        <v>9033</v>
      </c>
      <c r="F317" s="2">
        <v>69163</v>
      </c>
      <c r="G317" s="1">
        <v>624749379</v>
      </c>
      <c r="H317">
        <v>4.4999999999999998E-2</v>
      </c>
      <c r="I317">
        <v>6.5</v>
      </c>
      <c r="J317" s="3">
        <v>3.26</v>
      </c>
      <c r="M317" t="str">
        <f t="shared" si="13"/>
        <v>High Growth</v>
      </c>
      <c r="N317" s="2">
        <f t="shared" si="14"/>
        <v>55528754190</v>
      </c>
      <c r="O317" s="12">
        <f t="shared" si="12"/>
        <v>43466</v>
      </c>
    </row>
    <row r="318" spans="1:15" x14ac:dyDescent="0.3">
      <c r="A318">
        <v>2019</v>
      </c>
      <c r="B318">
        <v>1</v>
      </c>
      <c r="C318" t="s">
        <v>21</v>
      </c>
      <c r="D318" t="s">
        <v>15</v>
      </c>
      <c r="E318">
        <v>10110</v>
      </c>
      <c r="F318" s="2">
        <v>92918</v>
      </c>
      <c r="G318" s="1">
        <v>939400980</v>
      </c>
      <c r="H318">
        <v>3.5000000000000003E-2</v>
      </c>
      <c r="I318">
        <v>6.5</v>
      </c>
      <c r="J318" s="3">
        <v>3.26</v>
      </c>
      <c r="M318" t="str">
        <f t="shared" si="13"/>
        <v>High Growth</v>
      </c>
      <c r="N318" s="2">
        <f t="shared" si="14"/>
        <v>55528754190</v>
      </c>
      <c r="O318" s="12">
        <f t="shared" si="12"/>
        <v>43466</v>
      </c>
    </row>
    <row r="319" spans="1:15" x14ac:dyDescent="0.3">
      <c r="A319">
        <v>2019</v>
      </c>
      <c r="B319">
        <v>1</v>
      </c>
      <c r="C319" t="s">
        <v>21</v>
      </c>
      <c r="D319" t="s">
        <v>16</v>
      </c>
      <c r="E319">
        <v>2533</v>
      </c>
      <c r="F319" s="2">
        <v>64709</v>
      </c>
      <c r="G319" s="1">
        <v>163907897</v>
      </c>
      <c r="H319">
        <v>4.2000000000000003E-2</v>
      </c>
      <c r="I319">
        <v>6.5</v>
      </c>
      <c r="J319" s="3">
        <v>3.26</v>
      </c>
      <c r="M319" t="str">
        <f t="shared" si="13"/>
        <v>High Growth</v>
      </c>
      <c r="N319" s="2">
        <f t="shared" si="14"/>
        <v>55528754190</v>
      </c>
      <c r="O319" s="12">
        <f t="shared" si="12"/>
        <v>43466</v>
      </c>
    </row>
    <row r="320" spans="1:15" x14ac:dyDescent="0.3">
      <c r="A320">
        <v>2019</v>
      </c>
      <c r="B320">
        <v>1</v>
      </c>
      <c r="C320" t="s">
        <v>21</v>
      </c>
      <c r="D320" t="s">
        <v>17</v>
      </c>
      <c r="E320">
        <v>5421</v>
      </c>
      <c r="F320" s="2">
        <v>74895</v>
      </c>
      <c r="G320" s="1">
        <v>406005795</v>
      </c>
      <c r="H320">
        <v>4.5999999999999999E-2</v>
      </c>
      <c r="I320">
        <v>6.5</v>
      </c>
      <c r="J320" s="3">
        <v>3.26</v>
      </c>
      <c r="M320" t="str">
        <f t="shared" si="13"/>
        <v>High Growth</v>
      </c>
      <c r="N320" s="2">
        <f t="shared" si="14"/>
        <v>55528754190</v>
      </c>
      <c r="O320" s="12">
        <f t="shared" si="12"/>
        <v>43466</v>
      </c>
    </row>
    <row r="321" spans="1:15" x14ac:dyDescent="0.3">
      <c r="A321">
        <v>2019</v>
      </c>
      <c r="B321">
        <v>1</v>
      </c>
      <c r="C321" t="s">
        <v>21</v>
      </c>
      <c r="D321" t="s">
        <v>18</v>
      </c>
      <c r="E321">
        <v>8405</v>
      </c>
      <c r="F321" s="2">
        <v>40316</v>
      </c>
      <c r="G321" s="1">
        <v>338855980</v>
      </c>
      <c r="H321">
        <v>4.2000000000000003E-2</v>
      </c>
      <c r="I321">
        <v>6.5</v>
      </c>
      <c r="J321" s="3">
        <v>3.26</v>
      </c>
      <c r="M321" t="str">
        <f t="shared" si="13"/>
        <v>High Growth</v>
      </c>
      <c r="N321" s="2">
        <f t="shared" si="14"/>
        <v>55528754190</v>
      </c>
      <c r="O321" s="12">
        <f t="shared" si="12"/>
        <v>43466</v>
      </c>
    </row>
    <row r="322" spans="1:15" x14ac:dyDescent="0.3">
      <c r="A322">
        <v>2019</v>
      </c>
      <c r="B322">
        <v>2</v>
      </c>
      <c r="C322" t="s">
        <v>10</v>
      </c>
      <c r="D322" t="s">
        <v>11</v>
      </c>
      <c r="E322">
        <v>5762</v>
      </c>
      <c r="F322" s="2">
        <v>48430</v>
      </c>
      <c r="G322" s="1">
        <v>279053660</v>
      </c>
      <c r="H322">
        <v>0.05</v>
      </c>
      <c r="I322">
        <v>20.100000000000001</v>
      </c>
      <c r="J322" s="3">
        <v>4.8099999999999996</v>
      </c>
      <c r="M322" t="str">
        <f t="shared" si="13"/>
        <v>High Growth</v>
      </c>
      <c r="N322" s="2">
        <f t="shared" si="14"/>
        <v>56325491359</v>
      </c>
      <c r="O322" s="12">
        <f t="shared" ref="O322:O385" si="15">DATE(A322,B322,1)</f>
        <v>43497</v>
      </c>
    </row>
    <row r="323" spans="1:15" x14ac:dyDescent="0.3">
      <c r="A323">
        <v>2019</v>
      </c>
      <c r="B323">
        <v>2</v>
      </c>
      <c r="C323" t="s">
        <v>10</v>
      </c>
      <c r="D323" t="s">
        <v>12</v>
      </c>
      <c r="E323">
        <v>2894</v>
      </c>
      <c r="F323" s="2">
        <v>61107</v>
      </c>
      <c r="G323" s="1">
        <v>176843658</v>
      </c>
      <c r="H323">
        <v>5.8000000000000003E-2</v>
      </c>
      <c r="I323">
        <v>20.100000000000001</v>
      </c>
      <c r="J323" s="3">
        <v>4.8099999999999996</v>
      </c>
      <c r="M323" t="str">
        <f t="shared" ref="M323:M386" si="16">IF(H323&gt;0.03,"High Growth","Low Growth")</f>
        <v>High Growth</v>
      </c>
      <c r="N323" s="2">
        <f t="shared" ref="N323:N386" si="17">SUMIF(C:C, C323, G:G)</f>
        <v>56325491359</v>
      </c>
      <c r="O323" s="12">
        <f t="shared" si="15"/>
        <v>43497</v>
      </c>
    </row>
    <row r="324" spans="1:15" x14ac:dyDescent="0.3">
      <c r="A324">
        <v>2019</v>
      </c>
      <c r="B324">
        <v>2</v>
      </c>
      <c r="C324" t="s">
        <v>10</v>
      </c>
      <c r="D324" t="s">
        <v>13</v>
      </c>
      <c r="E324">
        <v>2648</v>
      </c>
      <c r="F324" s="2">
        <v>56409</v>
      </c>
      <c r="G324" s="1">
        <v>149371032</v>
      </c>
      <c r="H324">
        <v>5.8000000000000003E-2</v>
      </c>
      <c r="I324">
        <v>20.100000000000001</v>
      </c>
      <c r="J324" s="3">
        <v>4.8099999999999996</v>
      </c>
      <c r="M324" t="str">
        <f t="shared" si="16"/>
        <v>High Growth</v>
      </c>
      <c r="N324" s="2">
        <f t="shared" si="17"/>
        <v>56325491359</v>
      </c>
      <c r="O324" s="12">
        <f t="shared" si="15"/>
        <v>43497</v>
      </c>
    </row>
    <row r="325" spans="1:15" x14ac:dyDescent="0.3">
      <c r="A325">
        <v>2019</v>
      </c>
      <c r="B325">
        <v>2</v>
      </c>
      <c r="C325" t="s">
        <v>10</v>
      </c>
      <c r="D325" t="s">
        <v>14</v>
      </c>
      <c r="E325">
        <v>3321</v>
      </c>
      <c r="F325" s="2">
        <v>67514</v>
      </c>
      <c r="G325" s="1">
        <v>224213994</v>
      </c>
      <c r="H325">
        <v>4.7E-2</v>
      </c>
      <c r="I325">
        <v>20.100000000000001</v>
      </c>
      <c r="J325" s="3">
        <v>4.8099999999999996</v>
      </c>
      <c r="M325" t="str">
        <f t="shared" si="16"/>
        <v>High Growth</v>
      </c>
      <c r="N325" s="2">
        <f t="shared" si="17"/>
        <v>56325491359</v>
      </c>
      <c r="O325" s="12">
        <f t="shared" si="15"/>
        <v>43497</v>
      </c>
    </row>
    <row r="326" spans="1:15" x14ac:dyDescent="0.3">
      <c r="A326">
        <v>2019</v>
      </c>
      <c r="B326">
        <v>2</v>
      </c>
      <c r="C326" t="s">
        <v>10</v>
      </c>
      <c r="D326" t="s">
        <v>15</v>
      </c>
      <c r="E326">
        <v>9583</v>
      </c>
      <c r="F326" s="2">
        <v>90970</v>
      </c>
      <c r="G326" s="1">
        <v>871765510</v>
      </c>
      <c r="H326">
        <v>6.2E-2</v>
      </c>
      <c r="I326">
        <v>20.100000000000001</v>
      </c>
      <c r="J326" s="3">
        <v>4.8099999999999996</v>
      </c>
      <c r="M326" t="str">
        <f t="shared" si="16"/>
        <v>High Growth</v>
      </c>
      <c r="N326" s="2">
        <f t="shared" si="17"/>
        <v>56325491359</v>
      </c>
      <c r="O326" s="12">
        <f t="shared" si="15"/>
        <v>43497</v>
      </c>
    </row>
    <row r="327" spans="1:15" x14ac:dyDescent="0.3">
      <c r="A327">
        <v>2019</v>
      </c>
      <c r="B327">
        <v>2</v>
      </c>
      <c r="C327" t="s">
        <v>10</v>
      </c>
      <c r="D327" t="s">
        <v>16</v>
      </c>
      <c r="E327">
        <v>9470</v>
      </c>
      <c r="F327" s="2">
        <v>65134</v>
      </c>
      <c r="G327" s="1">
        <v>616818980</v>
      </c>
      <c r="H327">
        <v>4.7E-2</v>
      </c>
      <c r="I327">
        <v>20.100000000000001</v>
      </c>
      <c r="J327" s="3">
        <v>4.8099999999999996</v>
      </c>
      <c r="M327" t="str">
        <f t="shared" si="16"/>
        <v>High Growth</v>
      </c>
      <c r="N327" s="2">
        <f t="shared" si="17"/>
        <v>56325491359</v>
      </c>
      <c r="O327" s="12">
        <f t="shared" si="15"/>
        <v>43497</v>
      </c>
    </row>
    <row r="328" spans="1:15" x14ac:dyDescent="0.3">
      <c r="A328">
        <v>2019</v>
      </c>
      <c r="B328">
        <v>2</v>
      </c>
      <c r="C328" t="s">
        <v>10</v>
      </c>
      <c r="D328" t="s">
        <v>17</v>
      </c>
      <c r="E328">
        <v>3972</v>
      </c>
      <c r="F328" s="2">
        <v>76638</v>
      </c>
      <c r="G328" s="1">
        <v>304406136</v>
      </c>
      <c r="H328">
        <v>4.2000000000000003E-2</v>
      </c>
      <c r="I328">
        <v>20.100000000000001</v>
      </c>
      <c r="J328" s="3">
        <v>4.8099999999999996</v>
      </c>
      <c r="M328" t="str">
        <f t="shared" si="16"/>
        <v>High Growth</v>
      </c>
      <c r="N328" s="2">
        <f t="shared" si="17"/>
        <v>56325491359</v>
      </c>
      <c r="O328" s="12">
        <f t="shared" si="15"/>
        <v>43497</v>
      </c>
    </row>
    <row r="329" spans="1:15" x14ac:dyDescent="0.3">
      <c r="A329">
        <v>2019</v>
      </c>
      <c r="B329">
        <v>2</v>
      </c>
      <c r="C329" t="s">
        <v>10</v>
      </c>
      <c r="D329" t="s">
        <v>18</v>
      </c>
      <c r="E329">
        <v>11195</v>
      </c>
      <c r="F329" s="2">
        <v>43427</v>
      </c>
      <c r="G329" s="1">
        <v>486165265</v>
      </c>
      <c r="H329">
        <v>4.9000000000000002E-2</v>
      </c>
      <c r="I329">
        <v>20.100000000000001</v>
      </c>
      <c r="J329" s="3">
        <v>4.8099999999999996</v>
      </c>
      <c r="M329" t="str">
        <f t="shared" si="16"/>
        <v>High Growth</v>
      </c>
      <c r="N329" s="2">
        <f t="shared" si="17"/>
        <v>56325491359</v>
      </c>
      <c r="O329" s="12">
        <f t="shared" si="15"/>
        <v>43497</v>
      </c>
    </row>
    <row r="330" spans="1:15" x14ac:dyDescent="0.3">
      <c r="A330">
        <v>2019</v>
      </c>
      <c r="B330">
        <v>2</v>
      </c>
      <c r="C330" t="s">
        <v>19</v>
      </c>
      <c r="D330" t="s">
        <v>11</v>
      </c>
      <c r="E330">
        <v>2745</v>
      </c>
      <c r="F330" s="2">
        <v>46311</v>
      </c>
      <c r="G330" s="1">
        <v>127123695</v>
      </c>
      <c r="H330">
        <v>3.2000000000000001E-2</v>
      </c>
      <c r="I330">
        <v>17.04</v>
      </c>
      <c r="J330" s="3">
        <v>3.57</v>
      </c>
      <c r="M330" t="str">
        <f t="shared" si="16"/>
        <v>High Growth</v>
      </c>
      <c r="N330" s="2">
        <f t="shared" si="17"/>
        <v>58905926051</v>
      </c>
      <c r="O330" s="12">
        <f t="shared" si="15"/>
        <v>43497</v>
      </c>
    </row>
    <row r="331" spans="1:15" x14ac:dyDescent="0.3">
      <c r="A331">
        <v>2019</v>
      </c>
      <c r="B331">
        <v>2</v>
      </c>
      <c r="C331" t="s">
        <v>19</v>
      </c>
      <c r="D331" t="s">
        <v>12</v>
      </c>
      <c r="E331">
        <v>5303</v>
      </c>
      <c r="F331" s="2">
        <v>61082</v>
      </c>
      <c r="G331" s="1">
        <v>323917846</v>
      </c>
      <c r="H331">
        <v>5.7000000000000002E-2</v>
      </c>
      <c r="I331">
        <v>17.04</v>
      </c>
      <c r="J331" s="3">
        <v>3.57</v>
      </c>
      <c r="M331" t="str">
        <f t="shared" si="16"/>
        <v>High Growth</v>
      </c>
      <c r="N331" s="2">
        <f t="shared" si="17"/>
        <v>58905926051</v>
      </c>
      <c r="O331" s="12">
        <f t="shared" si="15"/>
        <v>43497</v>
      </c>
    </row>
    <row r="332" spans="1:15" x14ac:dyDescent="0.3">
      <c r="A332">
        <v>2019</v>
      </c>
      <c r="B332">
        <v>2</v>
      </c>
      <c r="C332" t="s">
        <v>19</v>
      </c>
      <c r="D332" t="s">
        <v>13</v>
      </c>
      <c r="E332">
        <v>11199</v>
      </c>
      <c r="F332" s="2">
        <v>57982</v>
      </c>
      <c r="G332" s="1">
        <v>649340418</v>
      </c>
      <c r="H332">
        <v>0.04</v>
      </c>
      <c r="I332">
        <v>17.04</v>
      </c>
      <c r="J332" s="3">
        <v>3.57</v>
      </c>
      <c r="M332" t="str">
        <f t="shared" si="16"/>
        <v>High Growth</v>
      </c>
      <c r="N332" s="2">
        <f t="shared" si="17"/>
        <v>58905926051</v>
      </c>
      <c r="O332" s="12">
        <f t="shared" si="15"/>
        <v>43497</v>
      </c>
    </row>
    <row r="333" spans="1:15" x14ac:dyDescent="0.3">
      <c r="A333">
        <v>2019</v>
      </c>
      <c r="B333">
        <v>2</v>
      </c>
      <c r="C333" t="s">
        <v>19</v>
      </c>
      <c r="D333" t="s">
        <v>14</v>
      </c>
      <c r="E333">
        <v>2790</v>
      </c>
      <c r="F333" s="2">
        <v>67902</v>
      </c>
      <c r="G333" s="1">
        <v>189446580</v>
      </c>
      <c r="H333">
        <v>4.7E-2</v>
      </c>
      <c r="I333">
        <v>17.04</v>
      </c>
      <c r="J333" s="3">
        <v>3.57</v>
      </c>
      <c r="M333" t="str">
        <f t="shared" si="16"/>
        <v>High Growth</v>
      </c>
      <c r="N333" s="2">
        <f t="shared" si="17"/>
        <v>58905926051</v>
      </c>
      <c r="O333" s="12">
        <f t="shared" si="15"/>
        <v>43497</v>
      </c>
    </row>
    <row r="334" spans="1:15" x14ac:dyDescent="0.3">
      <c r="A334">
        <v>2019</v>
      </c>
      <c r="B334">
        <v>2</v>
      </c>
      <c r="C334" t="s">
        <v>19</v>
      </c>
      <c r="D334" t="s">
        <v>15</v>
      </c>
      <c r="E334">
        <v>9300</v>
      </c>
      <c r="F334" s="2">
        <v>92071</v>
      </c>
      <c r="G334" s="1">
        <v>856260300</v>
      </c>
      <c r="H334">
        <v>4.3999999999999997E-2</v>
      </c>
      <c r="I334">
        <v>17.04</v>
      </c>
      <c r="J334" s="3">
        <v>3.57</v>
      </c>
      <c r="M334" t="str">
        <f t="shared" si="16"/>
        <v>High Growth</v>
      </c>
      <c r="N334" s="2">
        <f t="shared" si="17"/>
        <v>58905926051</v>
      </c>
      <c r="O334" s="12">
        <f t="shared" si="15"/>
        <v>43497</v>
      </c>
    </row>
    <row r="335" spans="1:15" x14ac:dyDescent="0.3">
      <c r="A335">
        <v>2019</v>
      </c>
      <c r="B335">
        <v>2</v>
      </c>
      <c r="C335" t="s">
        <v>19</v>
      </c>
      <c r="D335" t="s">
        <v>16</v>
      </c>
      <c r="E335">
        <v>10856</v>
      </c>
      <c r="F335" s="2">
        <v>65852</v>
      </c>
      <c r="G335" s="1">
        <v>714889312</v>
      </c>
      <c r="H335">
        <v>0.05</v>
      </c>
      <c r="I335">
        <v>17.04</v>
      </c>
      <c r="J335" s="3">
        <v>3.57</v>
      </c>
      <c r="M335" t="str">
        <f t="shared" si="16"/>
        <v>High Growth</v>
      </c>
      <c r="N335" s="2">
        <f t="shared" si="17"/>
        <v>58905926051</v>
      </c>
      <c r="O335" s="12">
        <f t="shared" si="15"/>
        <v>43497</v>
      </c>
    </row>
    <row r="336" spans="1:15" x14ac:dyDescent="0.3">
      <c r="A336">
        <v>2019</v>
      </c>
      <c r="B336">
        <v>2</v>
      </c>
      <c r="C336" t="s">
        <v>19</v>
      </c>
      <c r="D336" t="s">
        <v>17</v>
      </c>
      <c r="E336">
        <v>5825</v>
      </c>
      <c r="F336" s="2">
        <v>75467</v>
      </c>
      <c r="G336" s="1">
        <v>439595275</v>
      </c>
      <c r="H336">
        <v>4.7E-2</v>
      </c>
      <c r="I336">
        <v>17.04</v>
      </c>
      <c r="J336" s="3">
        <v>3.57</v>
      </c>
      <c r="M336" t="str">
        <f t="shared" si="16"/>
        <v>High Growth</v>
      </c>
      <c r="N336" s="2">
        <f t="shared" si="17"/>
        <v>58905926051</v>
      </c>
      <c r="O336" s="12">
        <f t="shared" si="15"/>
        <v>43497</v>
      </c>
    </row>
    <row r="337" spans="1:15" x14ac:dyDescent="0.3">
      <c r="A337">
        <v>2019</v>
      </c>
      <c r="B337">
        <v>2</v>
      </c>
      <c r="C337" t="s">
        <v>19</v>
      </c>
      <c r="D337" t="s">
        <v>18</v>
      </c>
      <c r="E337">
        <v>11707</v>
      </c>
      <c r="F337" s="2">
        <v>43188</v>
      </c>
      <c r="G337" s="1">
        <v>505601916</v>
      </c>
      <c r="H337">
        <v>5.5E-2</v>
      </c>
      <c r="I337">
        <v>17.04</v>
      </c>
      <c r="J337" s="3">
        <v>3.57</v>
      </c>
      <c r="M337" t="str">
        <f t="shared" si="16"/>
        <v>High Growth</v>
      </c>
      <c r="N337" s="2">
        <f t="shared" si="17"/>
        <v>58905926051</v>
      </c>
      <c r="O337" s="12">
        <f t="shared" si="15"/>
        <v>43497</v>
      </c>
    </row>
    <row r="338" spans="1:15" x14ac:dyDescent="0.3">
      <c r="A338">
        <v>2019</v>
      </c>
      <c r="B338">
        <v>2</v>
      </c>
      <c r="C338" t="s">
        <v>20</v>
      </c>
      <c r="D338" t="s">
        <v>11</v>
      </c>
      <c r="E338">
        <v>3810</v>
      </c>
      <c r="F338" s="2">
        <v>49714</v>
      </c>
      <c r="G338" s="1">
        <v>189410340</v>
      </c>
      <c r="H338">
        <v>3.5999999999999997E-2</v>
      </c>
      <c r="I338">
        <v>18.18</v>
      </c>
      <c r="J338" s="3">
        <v>4.57</v>
      </c>
      <c r="M338" t="str">
        <f t="shared" si="16"/>
        <v>High Growth</v>
      </c>
      <c r="N338" s="2">
        <f t="shared" si="17"/>
        <v>54599997295</v>
      </c>
      <c r="O338" s="12">
        <f t="shared" si="15"/>
        <v>43497</v>
      </c>
    </row>
    <row r="339" spans="1:15" x14ac:dyDescent="0.3">
      <c r="A339">
        <v>2019</v>
      </c>
      <c r="B339">
        <v>2</v>
      </c>
      <c r="C339" t="s">
        <v>20</v>
      </c>
      <c r="D339" t="s">
        <v>12</v>
      </c>
      <c r="E339">
        <v>2963</v>
      </c>
      <c r="F339" s="2">
        <v>63623</v>
      </c>
      <c r="G339" s="1">
        <v>188514949</v>
      </c>
      <c r="H339">
        <v>3.1E-2</v>
      </c>
      <c r="I339">
        <v>18.18</v>
      </c>
      <c r="J339" s="3">
        <v>4.57</v>
      </c>
      <c r="M339" t="str">
        <f t="shared" si="16"/>
        <v>High Growth</v>
      </c>
      <c r="N339" s="2">
        <f t="shared" si="17"/>
        <v>54599997295</v>
      </c>
      <c r="O339" s="12">
        <f t="shared" si="15"/>
        <v>43497</v>
      </c>
    </row>
    <row r="340" spans="1:15" x14ac:dyDescent="0.3">
      <c r="A340">
        <v>2019</v>
      </c>
      <c r="B340">
        <v>2</v>
      </c>
      <c r="C340" t="s">
        <v>20</v>
      </c>
      <c r="D340" t="s">
        <v>13</v>
      </c>
      <c r="E340">
        <v>5340</v>
      </c>
      <c r="F340" s="2">
        <v>58147</v>
      </c>
      <c r="G340" s="1">
        <v>310504980</v>
      </c>
      <c r="H340">
        <v>5.1999999999999998E-2</v>
      </c>
      <c r="I340">
        <v>18.18</v>
      </c>
      <c r="J340" s="3">
        <v>4.57</v>
      </c>
      <c r="M340" t="str">
        <f t="shared" si="16"/>
        <v>High Growth</v>
      </c>
      <c r="N340" s="2">
        <f t="shared" si="17"/>
        <v>54599997295</v>
      </c>
      <c r="O340" s="12">
        <f t="shared" si="15"/>
        <v>43497</v>
      </c>
    </row>
    <row r="341" spans="1:15" x14ac:dyDescent="0.3">
      <c r="A341">
        <v>2019</v>
      </c>
      <c r="B341">
        <v>2</v>
      </c>
      <c r="C341" t="s">
        <v>20</v>
      </c>
      <c r="D341" t="s">
        <v>14</v>
      </c>
      <c r="E341">
        <v>9193</v>
      </c>
      <c r="F341" s="2">
        <v>67477</v>
      </c>
      <c r="G341" s="1">
        <v>620316061</v>
      </c>
      <c r="H341">
        <v>3.7999999999999999E-2</v>
      </c>
      <c r="I341">
        <v>18.18</v>
      </c>
      <c r="J341" s="3">
        <v>4.57</v>
      </c>
      <c r="M341" t="str">
        <f t="shared" si="16"/>
        <v>High Growth</v>
      </c>
      <c r="N341" s="2">
        <f t="shared" si="17"/>
        <v>54599997295</v>
      </c>
      <c r="O341" s="12">
        <f t="shared" si="15"/>
        <v>43497</v>
      </c>
    </row>
    <row r="342" spans="1:15" x14ac:dyDescent="0.3">
      <c r="A342">
        <v>2019</v>
      </c>
      <c r="B342">
        <v>2</v>
      </c>
      <c r="C342" t="s">
        <v>20</v>
      </c>
      <c r="D342" t="s">
        <v>15</v>
      </c>
      <c r="E342">
        <v>11380</v>
      </c>
      <c r="F342" s="2">
        <v>92340</v>
      </c>
      <c r="G342" s="1">
        <v>1050829200</v>
      </c>
      <c r="H342">
        <v>4.7E-2</v>
      </c>
      <c r="I342">
        <v>18.18</v>
      </c>
      <c r="J342" s="3">
        <v>4.57</v>
      </c>
      <c r="M342" t="str">
        <f t="shared" si="16"/>
        <v>High Growth</v>
      </c>
      <c r="N342" s="2">
        <f t="shared" si="17"/>
        <v>54599997295</v>
      </c>
      <c r="O342" s="12">
        <f t="shared" si="15"/>
        <v>43497</v>
      </c>
    </row>
    <row r="343" spans="1:15" x14ac:dyDescent="0.3">
      <c r="A343">
        <v>2019</v>
      </c>
      <c r="B343">
        <v>2</v>
      </c>
      <c r="C343" t="s">
        <v>20</v>
      </c>
      <c r="D343" t="s">
        <v>16</v>
      </c>
      <c r="E343">
        <v>6994</v>
      </c>
      <c r="F343" s="2">
        <v>65365</v>
      </c>
      <c r="G343" s="1">
        <v>457162810</v>
      </c>
      <c r="H343">
        <v>2.1999999999999999E-2</v>
      </c>
      <c r="I343">
        <v>18.18</v>
      </c>
      <c r="J343" s="3">
        <v>4.57</v>
      </c>
      <c r="M343" t="str">
        <f t="shared" si="16"/>
        <v>Low Growth</v>
      </c>
      <c r="N343" s="2">
        <f t="shared" si="17"/>
        <v>54599997295</v>
      </c>
      <c r="O343" s="12">
        <f t="shared" si="15"/>
        <v>43497</v>
      </c>
    </row>
    <row r="344" spans="1:15" x14ac:dyDescent="0.3">
      <c r="A344">
        <v>2019</v>
      </c>
      <c r="B344">
        <v>2</v>
      </c>
      <c r="C344" t="s">
        <v>20</v>
      </c>
      <c r="D344" t="s">
        <v>17</v>
      </c>
      <c r="E344">
        <v>3938</v>
      </c>
      <c r="F344" s="2">
        <v>73503</v>
      </c>
      <c r="G344" s="1">
        <v>289454814</v>
      </c>
      <c r="H344">
        <v>4.2999999999999997E-2</v>
      </c>
      <c r="I344">
        <v>18.18</v>
      </c>
      <c r="J344" s="3">
        <v>4.57</v>
      </c>
      <c r="M344" t="str">
        <f t="shared" si="16"/>
        <v>High Growth</v>
      </c>
      <c r="N344" s="2">
        <f t="shared" si="17"/>
        <v>54599997295</v>
      </c>
      <c r="O344" s="12">
        <f t="shared" si="15"/>
        <v>43497</v>
      </c>
    </row>
    <row r="345" spans="1:15" x14ac:dyDescent="0.3">
      <c r="A345">
        <v>2019</v>
      </c>
      <c r="B345">
        <v>2</v>
      </c>
      <c r="C345" t="s">
        <v>20</v>
      </c>
      <c r="D345" t="s">
        <v>18</v>
      </c>
      <c r="E345">
        <v>4675</v>
      </c>
      <c r="F345" s="2">
        <v>42008</v>
      </c>
      <c r="G345" s="1">
        <v>196387400</v>
      </c>
      <c r="H345">
        <v>5.6000000000000001E-2</v>
      </c>
      <c r="I345">
        <v>18.18</v>
      </c>
      <c r="J345" s="3">
        <v>4.57</v>
      </c>
      <c r="M345" t="str">
        <f t="shared" si="16"/>
        <v>High Growth</v>
      </c>
      <c r="N345" s="2">
        <f t="shared" si="17"/>
        <v>54599997295</v>
      </c>
      <c r="O345" s="12">
        <f t="shared" si="15"/>
        <v>43497</v>
      </c>
    </row>
    <row r="346" spans="1:15" x14ac:dyDescent="0.3">
      <c r="A346">
        <v>2019</v>
      </c>
      <c r="B346">
        <v>2</v>
      </c>
      <c r="C346" t="s">
        <v>21</v>
      </c>
      <c r="D346" t="s">
        <v>11</v>
      </c>
      <c r="E346">
        <v>10488</v>
      </c>
      <c r="F346" s="2">
        <v>48046</v>
      </c>
      <c r="G346" s="1">
        <v>503906448</v>
      </c>
      <c r="H346">
        <v>5.2999999999999999E-2</v>
      </c>
      <c r="I346">
        <v>6.3</v>
      </c>
      <c r="J346" s="3">
        <v>2.31</v>
      </c>
      <c r="M346" t="str">
        <f t="shared" si="16"/>
        <v>High Growth</v>
      </c>
      <c r="N346" s="2">
        <f t="shared" si="17"/>
        <v>55528754190</v>
      </c>
      <c r="O346" s="12">
        <f t="shared" si="15"/>
        <v>43497</v>
      </c>
    </row>
    <row r="347" spans="1:15" x14ac:dyDescent="0.3">
      <c r="A347">
        <v>2019</v>
      </c>
      <c r="B347">
        <v>2</v>
      </c>
      <c r="C347" t="s">
        <v>21</v>
      </c>
      <c r="D347" t="s">
        <v>12</v>
      </c>
      <c r="E347">
        <v>7870</v>
      </c>
      <c r="F347" s="2">
        <v>60459</v>
      </c>
      <c r="G347" s="1">
        <v>475812330</v>
      </c>
      <c r="H347">
        <v>3.3000000000000002E-2</v>
      </c>
      <c r="I347">
        <v>6.3</v>
      </c>
      <c r="J347" s="3">
        <v>2.31</v>
      </c>
      <c r="M347" t="str">
        <f t="shared" si="16"/>
        <v>High Growth</v>
      </c>
      <c r="N347" s="2">
        <f t="shared" si="17"/>
        <v>55528754190</v>
      </c>
      <c r="O347" s="12">
        <f t="shared" si="15"/>
        <v>43497</v>
      </c>
    </row>
    <row r="348" spans="1:15" x14ac:dyDescent="0.3">
      <c r="A348">
        <v>2019</v>
      </c>
      <c r="B348">
        <v>2</v>
      </c>
      <c r="C348" t="s">
        <v>21</v>
      </c>
      <c r="D348" t="s">
        <v>13</v>
      </c>
      <c r="E348">
        <v>9356</v>
      </c>
      <c r="F348" s="2">
        <v>59778</v>
      </c>
      <c r="G348" s="1">
        <v>559282968</v>
      </c>
      <c r="H348">
        <v>2.9000000000000001E-2</v>
      </c>
      <c r="I348">
        <v>6.3</v>
      </c>
      <c r="J348" s="3">
        <v>2.31</v>
      </c>
      <c r="M348" t="str">
        <f t="shared" si="16"/>
        <v>Low Growth</v>
      </c>
      <c r="N348" s="2">
        <f t="shared" si="17"/>
        <v>55528754190</v>
      </c>
      <c r="O348" s="12">
        <f t="shared" si="15"/>
        <v>43497</v>
      </c>
    </row>
    <row r="349" spans="1:15" x14ac:dyDescent="0.3">
      <c r="A349">
        <v>2019</v>
      </c>
      <c r="B349">
        <v>2</v>
      </c>
      <c r="C349" t="s">
        <v>21</v>
      </c>
      <c r="D349" t="s">
        <v>14</v>
      </c>
      <c r="E349">
        <v>3061</v>
      </c>
      <c r="F349" s="2">
        <v>67269</v>
      </c>
      <c r="G349" s="1">
        <v>205910409</v>
      </c>
      <c r="H349">
        <v>4.2000000000000003E-2</v>
      </c>
      <c r="I349">
        <v>6.3</v>
      </c>
      <c r="J349" s="3">
        <v>2.31</v>
      </c>
      <c r="M349" t="str">
        <f t="shared" si="16"/>
        <v>High Growth</v>
      </c>
      <c r="N349" s="2">
        <f t="shared" si="17"/>
        <v>55528754190</v>
      </c>
      <c r="O349" s="12">
        <f t="shared" si="15"/>
        <v>43497</v>
      </c>
    </row>
    <row r="350" spans="1:15" x14ac:dyDescent="0.3">
      <c r="A350">
        <v>2019</v>
      </c>
      <c r="B350">
        <v>2</v>
      </c>
      <c r="C350" t="s">
        <v>21</v>
      </c>
      <c r="D350" t="s">
        <v>15</v>
      </c>
      <c r="E350">
        <v>8047</v>
      </c>
      <c r="F350" s="2">
        <v>91280</v>
      </c>
      <c r="G350" s="1">
        <v>734530160</v>
      </c>
      <c r="H350">
        <v>5.5E-2</v>
      </c>
      <c r="I350">
        <v>6.3</v>
      </c>
      <c r="J350" s="3">
        <v>2.31</v>
      </c>
      <c r="M350" t="str">
        <f t="shared" si="16"/>
        <v>High Growth</v>
      </c>
      <c r="N350" s="2">
        <f t="shared" si="17"/>
        <v>55528754190</v>
      </c>
      <c r="O350" s="12">
        <f t="shared" si="15"/>
        <v>43497</v>
      </c>
    </row>
    <row r="351" spans="1:15" x14ac:dyDescent="0.3">
      <c r="A351">
        <v>2019</v>
      </c>
      <c r="B351">
        <v>2</v>
      </c>
      <c r="C351" t="s">
        <v>21</v>
      </c>
      <c r="D351" t="s">
        <v>16</v>
      </c>
      <c r="E351">
        <v>8587</v>
      </c>
      <c r="F351" s="2">
        <v>66347</v>
      </c>
      <c r="G351" s="1">
        <v>569721689</v>
      </c>
      <c r="H351">
        <v>0.04</v>
      </c>
      <c r="I351">
        <v>6.3</v>
      </c>
      <c r="J351" s="3">
        <v>2.31</v>
      </c>
      <c r="M351" t="str">
        <f t="shared" si="16"/>
        <v>High Growth</v>
      </c>
      <c r="N351" s="2">
        <f t="shared" si="17"/>
        <v>55528754190</v>
      </c>
      <c r="O351" s="12">
        <f t="shared" si="15"/>
        <v>43497</v>
      </c>
    </row>
    <row r="352" spans="1:15" x14ac:dyDescent="0.3">
      <c r="A352">
        <v>2019</v>
      </c>
      <c r="B352">
        <v>2</v>
      </c>
      <c r="C352" t="s">
        <v>21</v>
      </c>
      <c r="D352" t="s">
        <v>17</v>
      </c>
      <c r="E352">
        <v>8214</v>
      </c>
      <c r="F352" s="2">
        <v>73575</v>
      </c>
      <c r="G352" s="1">
        <v>604345050</v>
      </c>
      <c r="H352">
        <v>0.06</v>
      </c>
      <c r="I352">
        <v>6.3</v>
      </c>
      <c r="J352" s="3">
        <v>2.31</v>
      </c>
      <c r="M352" t="str">
        <f t="shared" si="16"/>
        <v>High Growth</v>
      </c>
      <c r="N352" s="2">
        <f t="shared" si="17"/>
        <v>55528754190</v>
      </c>
      <c r="O352" s="12">
        <f t="shared" si="15"/>
        <v>43497</v>
      </c>
    </row>
    <row r="353" spans="1:15" x14ac:dyDescent="0.3">
      <c r="A353">
        <v>2019</v>
      </c>
      <c r="B353">
        <v>2</v>
      </c>
      <c r="C353" t="s">
        <v>21</v>
      </c>
      <c r="D353" t="s">
        <v>18</v>
      </c>
      <c r="E353">
        <v>9324</v>
      </c>
      <c r="F353" s="2">
        <v>42003</v>
      </c>
      <c r="G353" s="1">
        <v>391635972</v>
      </c>
      <c r="H353">
        <v>5.3999999999999999E-2</v>
      </c>
      <c r="I353">
        <v>6.3</v>
      </c>
      <c r="J353" s="3">
        <v>2.31</v>
      </c>
      <c r="M353" t="str">
        <f t="shared" si="16"/>
        <v>High Growth</v>
      </c>
      <c r="N353" s="2">
        <f t="shared" si="17"/>
        <v>55528754190</v>
      </c>
      <c r="O353" s="12">
        <f t="shared" si="15"/>
        <v>43497</v>
      </c>
    </row>
    <row r="354" spans="1:15" x14ac:dyDescent="0.3">
      <c r="A354">
        <v>2019</v>
      </c>
      <c r="B354">
        <v>3</v>
      </c>
      <c r="C354" t="s">
        <v>10</v>
      </c>
      <c r="D354" t="s">
        <v>11</v>
      </c>
      <c r="E354">
        <v>6875</v>
      </c>
      <c r="F354" s="2">
        <v>47390</v>
      </c>
      <c r="G354" s="1">
        <v>325806250</v>
      </c>
      <c r="H354">
        <v>0.04</v>
      </c>
      <c r="I354">
        <v>16.5</v>
      </c>
      <c r="J354" s="3">
        <v>4.4000000000000004</v>
      </c>
      <c r="M354" t="str">
        <f t="shared" si="16"/>
        <v>High Growth</v>
      </c>
      <c r="N354" s="2">
        <f t="shared" si="17"/>
        <v>56325491359</v>
      </c>
      <c r="O354" s="12">
        <f t="shared" si="15"/>
        <v>43525</v>
      </c>
    </row>
    <row r="355" spans="1:15" x14ac:dyDescent="0.3">
      <c r="A355">
        <v>2019</v>
      </c>
      <c r="B355">
        <v>3</v>
      </c>
      <c r="C355" t="s">
        <v>10</v>
      </c>
      <c r="D355" t="s">
        <v>12</v>
      </c>
      <c r="E355">
        <v>4806</v>
      </c>
      <c r="F355" s="2">
        <v>61925</v>
      </c>
      <c r="G355" s="1">
        <v>297611550</v>
      </c>
      <c r="H355">
        <v>6.3E-2</v>
      </c>
      <c r="I355">
        <v>16.5</v>
      </c>
      <c r="J355" s="3">
        <v>4.4000000000000004</v>
      </c>
      <c r="M355" t="str">
        <f t="shared" si="16"/>
        <v>High Growth</v>
      </c>
      <c r="N355" s="2">
        <f t="shared" si="17"/>
        <v>56325491359</v>
      </c>
      <c r="O355" s="12">
        <f t="shared" si="15"/>
        <v>43525</v>
      </c>
    </row>
    <row r="356" spans="1:15" x14ac:dyDescent="0.3">
      <c r="A356">
        <v>2019</v>
      </c>
      <c r="B356">
        <v>3</v>
      </c>
      <c r="C356" t="s">
        <v>10</v>
      </c>
      <c r="D356" t="s">
        <v>13</v>
      </c>
      <c r="E356">
        <v>3533</v>
      </c>
      <c r="F356" s="2">
        <v>58381</v>
      </c>
      <c r="G356" s="1">
        <v>206260073</v>
      </c>
      <c r="H356">
        <v>0.04</v>
      </c>
      <c r="I356">
        <v>16.5</v>
      </c>
      <c r="J356" s="3">
        <v>4.4000000000000004</v>
      </c>
      <c r="M356" t="str">
        <f t="shared" si="16"/>
        <v>High Growth</v>
      </c>
      <c r="N356" s="2">
        <f t="shared" si="17"/>
        <v>56325491359</v>
      </c>
      <c r="O356" s="12">
        <f t="shared" si="15"/>
        <v>43525</v>
      </c>
    </row>
    <row r="357" spans="1:15" x14ac:dyDescent="0.3">
      <c r="A357">
        <v>2019</v>
      </c>
      <c r="B357">
        <v>3</v>
      </c>
      <c r="C357" t="s">
        <v>10</v>
      </c>
      <c r="D357" t="s">
        <v>14</v>
      </c>
      <c r="E357">
        <v>3929</v>
      </c>
      <c r="F357" s="2">
        <v>69558</v>
      </c>
      <c r="G357" s="1">
        <v>273293382</v>
      </c>
      <c r="H357">
        <v>4.4999999999999998E-2</v>
      </c>
      <c r="I357">
        <v>16.5</v>
      </c>
      <c r="J357" s="3">
        <v>4.4000000000000004</v>
      </c>
      <c r="M357" t="str">
        <f t="shared" si="16"/>
        <v>High Growth</v>
      </c>
      <c r="N357" s="2">
        <f t="shared" si="17"/>
        <v>56325491359</v>
      </c>
      <c r="O357" s="12">
        <f t="shared" si="15"/>
        <v>43525</v>
      </c>
    </row>
    <row r="358" spans="1:15" x14ac:dyDescent="0.3">
      <c r="A358">
        <v>2019</v>
      </c>
      <c r="B358">
        <v>3</v>
      </c>
      <c r="C358" t="s">
        <v>10</v>
      </c>
      <c r="D358" t="s">
        <v>15</v>
      </c>
      <c r="E358">
        <v>13295</v>
      </c>
      <c r="F358" s="2">
        <v>91058</v>
      </c>
      <c r="G358" s="1">
        <v>1210616110</v>
      </c>
      <c r="H358">
        <v>4.5999999999999999E-2</v>
      </c>
      <c r="I358">
        <v>16.5</v>
      </c>
      <c r="J358" s="3">
        <v>4.4000000000000004</v>
      </c>
      <c r="M358" t="str">
        <f t="shared" si="16"/>
        <v>High Growth</v>
      </c>
      <c r="N358" s="2">
        <f t="shared" si="17"/>
        <v>56325491359</v>
      </c>
      <c r="O358" s="12">
        <f t="shared" si="15"/>
        <v>43525</v>
      </c>
    </row>
    <row r="359" spans="1:15" x14ac:dyDescent="0.3">
      <c r="A359">
        <v>2019</v>
      </c>
      <c r="B359">
        <v>3</v>
      </c>
      <c r="C359" t="s">
        <v>10</v>
      </c>
      <c r="D359" t="s">
        <v>16</v>
      </c>
      <c r="E359">
        <v>7696</v>
      </c>
      <c r="F359" s="2">
        <v>65532</v>
      </c>
      <c r="G359" s="1">
        <v>504334272</v>
      </c>
      <c r="H359">
        <v>0.04</v>
      </c>
      <c r="I359">
        <v>16.5</v>
      </c>
      <c r="J359" s="3">
        <v>4.4000000000000004</v>
      </c>
      <c r="M359" t="str">
        <f t="shared" si="16"/>
        <v>High Growth</v>
      </c>
      <c r="N359" s="2">
        <f t="shared" si="17"/>
        <v>56325491359</v>
      </c>
      <c r="O359" s="12">
        <f t="shared" si="15"/>
        <v>43525</v>
      </c>
    </row>
    <row r="360" spans="1:15" x14ac:dyDescent="0.3">
      <c r="A360">
        <v>2019</v>
      </c>
      <c r="B360">
        <v>3</v>
      </c>
      <c r="C360" t="s">
        <v>10</v>
      </c>
      <c r="D360" t="s">
        <v>17</v>
      </c>
      <c r="E360">
        <v>8699</v>
      </c>
      <c r="F360" s="2">
        <v>74229</v>
      </c>
      <c r="G360" s="1">
        <v>645718071</v>
      </c>
      <c r="H360">
        <v>4.5999999999999999E-2</v>
      </c>
      <c r="I360">
        <v>16.5</v>
      </c>
      <c r="J360" s="3">
        <v>4.4000000000000004</v>
      </c>
      <c r="M360" t="str">
        <f t="shared" si="16"/>
        <v>High Growth</v>
      </c>
      <c r="N360" s="2">
        <f t="shared" si="17"/>
        <v>56325491359</v>
      </c>
      <c r="O360" s="12">
        <f t="shared" si="15"/>
        <v>43525</v>
      </c>
    </row>
    <row r="361" spans="1:15" x14ac:dyDescent="0.3">
      <c r="A361">
        <v>2019</v>
      </c>
      <c r="B361">
        <v>3</v>
      </c>
      <c r="C361" t="s">
        <v>10</v>
      </c>
      <c r="D361" t="s">
        <v>18</v>
      </c>
      <c r="E361">
        <v>13286</v>
      </c>
      <c r="F361" s="2">
        <v>40489</v>
      </c>
      <c r="G361" s="1">
        <v>537936854</v>
      </c>
      <c r="H361">
        <v>2.5000000000000001E-2</v>
      </c>
      <c r="I361">
        <v>16.5</v>
      </c>
      <c r="J361" s="3">
        <v>4.4000000000000004</v>
      </c>
      <c r="M361" t="str">
        <f t="shared" si="16"/>
        <v>Low Growth</v>
      </c>
      <c r="N361" s="2">
        <f t="shared" si="17"/>
        <v>56325491359</v>
      </c>
      <c r="O361" s="12">
        <f t="shared" si="15"/>
        <v>43525</v>
      </c>
    </row>
    <row r="362" spans="1:15" x14ac:dyDescent="0.3">
      <c r="A362">
        <v>2019</v>
      </c>
      <c r="B362">
        <v>3</v>
      </c>
      <c r="C362" t="s">
        <v>19</v>
      </c>
      <c r="D362" t="s">
        <v>11</v>
      </c>
      <c r="E362">
        <v>2974</v>
      </c>
      <c r="F362" s="2">
        <v>47208</v>
      </c>
      <c r="G362" s="1">
        <v>140396592</v>
      </c>
      <c r="H362">
        <v>4.5999999999999999E-2</v>
      </c>
      <c r="I362">
        <v>18.8</v>
      </c>
      <c r="J362" s="3">
        <v>2.52</v>
      </c>
      <c r="M362" t="str">
        <f t="shared" si="16"/>
        <v>High Growth</v>
      </c>
      <c r="N362" s="2">
        <f t="shared" si="17"/>
        <v>58905926051</v>
      </c>
      <c r="O362" s="12">
        <f t="shared" si="15"/>
        <v>43525</v>
      </c>
    </row>
    <row r="363" spans="1:15" x14ac:dyDescent="0.3">
      <c r="A363">
        <v>2019</v>
      </c>
      <c r="B363">
        <v>3</v>
      </c>
      <c r="C363" t="s">
        <v>19</v>
      </c>
      <c r="D363" t="s">
        <v>12</v>
      </c>
      <c r="E363">
        <v>8884</v>
      </c>
      <c r="F363" s="2">
        <v>63255</v>
      </c>
      <c r="G363" s="1">
        <v>561957420</v>
      </c>
      <c r="H363">
        <v>0.05</v>
      </c>
      <c r="I363">
        <v>18.8</v>
      </c>
      <c r="J363" s="3">
        <v>2.52</v>
      </c>
      <c r="M363" t="str">
        <f t="shared" si="16"/>
        <v>High Growth</v>
      </c>
      <c r="N363" s="2">
        <f t="shared" si="17"/>
        <v>58905926051</v>
      </c>
      <c r="O363" s="12">
        <f t="shared" si="15"/>
        <v>43525</v>
      </c>
    </row>
    <row r="364" spans="1:15" x14ac:dyDescent="0.3">
      <c r="A364">
        <v>2019</v>
      </c>
      <c r="B364">
        <v>3</v>
      </c>
      <c r="C364" t="s">
        <v>19</v>
      </c>
      <c r="D364" t="s">
        <v>13</v>
      </c>
      <c r="E364">
        <v>10353</v>
      </c>
      <c r="F364" s="2">
        <v>57317</v>
      </c>
      <c r="G364" s="1">
        <v>593402901</v>
      </c>
      <c r="H364">
        <v>2.4E-2</v>
      </c>
      <c r="I364">
        <v>18.8</v>
      </c>
      <c r="J364" s="3">
        <v>2.52</v>
      </c>
      <c r="M364" t="str">
        <f t="shared" si="16"/>
        <v>Low Growth</v>
      </c>
      <c r="N364" s="2">
        <f t="shared" si="17"/>
        <v>58905926051</v>
      </c>
      <c r="O364" s="12">
        <f t="shared" si="15"/>
        <v>43525</v>
      </c>
    </row>
    <row r="365" spans="1:15" x14ac:dyDescent="0.3">
      <c r="A365">
        <v>2019</v>
      </c>
      <c r="B365">
        <v>3</v>
      </c>
      <c r="C365" t="s">
        <v>19</v>
      </c>
      <c r="D365" t="s">
        <v>14</v>
      </c>
      <c r="E365">
        <v>9963</v>
      </c>
      <c r="F365" s="2">
        <v>69431</v>
      </c>
      <c r="G365" s="1">
        <v>691741053</v>
      </c>
      <c r="H365">
        <v>4.8000000000000001E-2</v>
      </c>
      <c r="I365">
        <v>18.8</v>
      </c>
      <c r="J365" s="3">
        <v>2.52</v>
      </c>
      <c r="M365" t="str">
        <f t="shared" si="16"/>
        <v>High Growth</v>
      </c>
      <c r="N365" s="2">
        <f t="shared" si="17"/>
        <v>58905926051</v>
      </c>
      <c r="O365" s="12">
        <f t="shared" si="15"/>
        <v>43525</v>
      </c>
    </row>
    <row r="366" spans="1:15" x14ac:dyDescent="0.3">
      <c r="A366">
        <v>2019</v>
      </c>
      <c r="B366">
        <v>3</v>
      </c>
      <c r="C366" t="s">
        <v>19</v>
      </c>
      <c r="D366" t="s">
        <v>15</v>
      </c>
      <c r="E366">
        <v>9355</v>
      </c>
      <c r="F366" s="2">
        <v>92793</v>
      </c>
      <c r="G366" s="1">
        <v>868078515</v>
      </c>
      <c r="H366">
        <v>5.6000000000000001E-2</v>
      </c>
      <c r="I366">
        <v>18.8</v>
      </c>
      <c r="J366" s="3">
        <v>2.52</v>
      </c>
      <c r="M366" t="str">
        <f t="shared" si="16"/>
        <v>High Growth</v>
      </c>
      <c r="N366" s="2">
        <f t="shared" si="17"/>
        <v>58905926051</v>
      </c>
      <c r="O366" s="12">
        <f t="shared" si="15"/>
        <v>43525</v>
      </c>
    </row>
    <row r="367" spans="1:15" x14ac:dyDescent="0.3">
      <c r="A367">
        <v>2019</v>
      </c>
      <c r="B367">
        <v>3</v>
      </c>
      <c r="C367" t="s">
        <v>19</v>
      </c>
      <c r="D367" t="s">
        <v>16</v>
      </c>
      <c r="E367">
        <v>3842</v>
      </c>
      <c r="F367" s="2">
        <v>63374</v>
      </c>
      <c r="G367" s="1">
        <v>243482908</v>
      </c>
      <c r="H367">
        <v>3.5000000000000003E-2</v>
      </c>
      <c r="I367">
        <v>18.8</v>
      </c>
      <c r="J367" s="3">
        <v>2.52</v>
      </c>
      <c r="M367" t="str">
        <f t="shared" si="16"/>
        <v>High Growth</v>
      </c>
      <c r="N367" s="2">
        <f t="shared" si="17"/>
        <v>58905926051</v>
      </c>
      <c r="O367" s="12">
        <f t="shared" si="15"/>
        <v>43525</v>
      </c>
    </row>
    <row r="368" spans="1:15" x14ac:dyDescent="0.3">
      <c r="A368">
        <v>2019</v>
      </c>
      <c r="B368">
        <v>3</v>
      </c>
      <c r="C368" t="s">
        <v>19</v>
      </c>
      <c r="D368" t="s">
        <v>17</v>
      </c>
      <c r="E368">
        <v>10961</v>
      </c>
      <c r="F368" s="2">
        <v>73516</v>
      </c>
      <c r="G368" s="1">
        <v>805808876</v>
      </c>
      <c r="H368">
        <v>3.9E-2</v>
      </c>
      <c r="I368">
        <v>18.8</v>
      </c>
      <c r="J368" s="3">
        <v>2.52</v>
      </c>
      <c r="M368" t="str">
        <f t="shared" si="16"/>
        <v>High Growth</v>
      </c>
      <c r="N368" s="2">
        <f t="shared" si="17"/>
        <v>58905926051</v>
      </c>
      <c r="O368" s="12">
        <f t="shared" si="15"/>
        <v>43525</v>
      </c>
    </row>
    <row r="369" spans="1:15" x14ac:dyDescent="0.3">
      <c r="A369">
        <v>2019</v>
      </c>
      <c r="B369">
        <v>3</v>
      </c>
      <c r="C369" t="s">
        <v>19</v>
      </c>
      <c r="D369" t="s">
        <v>18</v>
      </c>
      <c r="E369">
        <v>4189</v>
      </c>
      <c r="F369" s="2">
        <v>43873</v>
      </c>
      <c r="G369" s="1">
        <v>183783997</v>
      </c>
      <c r="H369">
        <v>6.4000000000000001E-2</v>
      </c>
      <c r="I369">
        <v>18.8</v>
      </c>
      <c r="J369" s="3">
        <v>2.52</v>
      </c>
      <c r="M369" t="str">
        <f t="shared" si="16"/>
        <v>High Growth</v>
      </c>
      <c r="N369" s="2">
        <f t="shared" si="17"/>
        <v>58905926051</v>
      </c>
      <c r="O369" s="12">
        <f t="shared" si="15"/>
        <v>43525</v>
      </c>
    </row>
    <row r="370" spans="1:15" x14ac:dyDescent="0.3">
      <c r="A370">
        <v>2019</v>
      </c>
      <c r="B370">
        <v>3</v>
      </c>
      <c r="C370" t="s">
        <v>20</v>
      </c>
      <c r="D370" t="s">
        <v>11</v>
      </c>
      <c r="E370">
        <v>11562</v>
      </c>
      <c r="F370" s="2">
        <v>46587</v>
      </c>
      <c r="G370" s="1">
        <v>538638894</v>
      </c>
      <c r="H370">
        <v>4.7E-2</v>
      </c>
      <c r="I370">
        <v>15.71</v>
      </c>
      <c r="J370" s="3">
        <v>2.9</v>
      </c>
      <c r="M370" t="str">
        <f t="shared" si="16"/>
        <v>High Growth</v>
      </c>
      <c r="N370" s="2">
        <f t="shared" si="17"/>
        <v>54599997295</v>
      </c>
      <c r="O370" s="12">
        <f t="shared" si="15"/>
        <v>43525</v>
      </c>
    </row>
    <row r="371" spans="1:15" x14ac:dyDescent="0.3">
      <c r="A371">
        <v>2019</v>
      </c>
      <c r="B371">
        <v>3</v>
      </c>
      <c r="C371" t="s">
        <v>20</v>
      </c>
      <c r="D371" t="s">
        <v>12</v>
      </c>
      <c r="E371">
        <v>3949</v>
      </c>
      <c r="F371" s="2">
        <v>61863</v>
      </c>
      <c r="G371" s="1">
        <v>244296987</v>
      </c>
      <c r="H371">
        <v>5.6000000000000001E-2</v>
      </c>
      <c r="I371">
        <v>15.71</v>
      </c>
      <c r="J371" s="3">
        <v>2.9</v>
      </c>
      <c r="M371" t="str">
        <f t="shared" si="16"/>
        <v>High Growth</v>
      </c>
      <c r="N371" s="2">
        <f t="shared" si="17"/>
        <v>54599997295</v>
      </c>
      <c r="O371" s="12">
        <f t="shared" si="15"/>
        <v>43525</v>
      </c>
    </row>
    <row r="372" spans="1:15" x14ac:dyDescent="0.3">
      <c r="A372">
        <v>2019</v>
      </c>
      <c r="B372">
        <v>3</v>
      </c>
      <c r="C372" t="s">
        <v>20</v>
      </c>
      <c r="D372" t="s">
        <v>13</v>
      </c>
      <c r="E372">
        <v>7863</v>
      </c>
      <c r="F372" s="2">
        <v>59218</v>
      </c>
      <c r="G372" s="1">
        <v>465631134</v>
      </c>
      <c r="H372">
        <v>5.6000000000000001E-2</v>
      </c>
      <c r="I372">
        <v>15.71</v>
      </c>
      <c r="J372" s="3">
        <v>2.9</v>
      </c>
      <c r="M372" t="str">
        <f t="shared" si="16"/>
        <v>High Growth</v>
      </c>
      <c r="N372" s="2">
        <f t="shared" si="17"/>
        <v>54599997295</v>
      </c>
      <c r="O372" s="12">
        <f t="shared" si="15"/>
        <v>43525</v>
      </c>
    </row>
    <row r="373" spans="1:15" x14ac:dyDescent="0.3">
      <c r="A373">
        <v>2019</v>
      </c>
      <c r="B373">
        <v>3</v>
      </c>
      <c r="C373" t="s">
        <v>20</v>
      </c>
      <c r="D373" t="s">
        <v>14</v>
      </c>
      <c r="E373">
        <v>6371</v>
      </c>
      <c r="F373" s="2">
        <v>68327</v>
      </c>
      <c r="G373" s="1">
        <v>435311317</v>
      </c>
      <c r="H373">
        <v>5.7000000000000002E-2</v>
      </c>
      <c r="I373">
        <v>15.71</v>
      </c>
      <c r="J373" s="3">
        <v>2.9</v>
      </c>
      <c r="M373" t="str">
        <f t="shared" si="16"/>
        <v>High Growth</v>
      </c>
      <c r="N373" s="2">
        <f t="shared" si="17"/>
        <v>54599997295</v>
      </c>
      <c r="O373" s="12">
        <f t="shared" si="15"/>
        <v>43525</v>
      </c>
    </row>
    <row r="374" spans="1:15" x14ac:dyDescent="0.3">
      <c r="A374">
        <v>2019</v>
      </c>
      <c r="B374">
        <v>3</v>
      </c>
      <c r="C374" t="s">
        <v>20</v>
      </c>
      <c r="D374" t="s">
        <v>15</v>
      </c>
      <c r="E374">
        <v>12038</v>
      </c>
      <c r="F374" s="2">
        <v>92632</v>
      </c>
      <c r="G374" s="1">
        <v>1115104016</v>
      </c>
      <c r="H374">
        <v>5.5E-2</v>
      </c>
      <c r="I374">
        <v>15.71</v>
      </c>
      <c r="J374" s="3">
        <v>2.9</v>
      </c>
      <c r="M374" t="str">
        <f t="shared" si="16"/>
        <v>High Growth</v>
      </c>
      <c r="N374" s="2">
        <f t="shared" si="17"/>
        <v>54599997295</v>
      </c>
      <c r="O374" s="12">
        <f t="shared" si="15"/>
        <v>43525</v>
      </c>
    </row>
    <row r="375" spans="1:15" x14ac:dyDescent="0.3">
      <c r="A375">
        <v>2019</v>
      </c>
      <c r="B375">
        <v>3</v>
      </c>
      <c r="C375" t="s">
        <v>20</v>
      </c>
      <c r="D375" t="s">
        <v>16</v>
      </c>
      <c r="E375">
        <v>7169</v>
      </c>
      <c r="F375" s="2">
        <v>65636</v>
      </c>
      <c r="G375" s="1">
        <v>470544484</v>
      </c>
      <c r="H375">
        <v>4.2000000000000003E-2</v>
      </c>
      <c r="I375">
        <v>15.71</v>
      </c>
      <c r="J375" s="3">
        <v>2.9</v>
      </c>
      <c r="M375" t="str">
        <f t="shared" si="16"/>
        <v>High Growth</v>
      </c>
      <c r="N375" s="2">
        <f t="shared" si="17"/>
        <v>54599997295</v>
      </c>
      <c r="O375" s="12">
        <f t="shared" si="15"/>
        <v>43525</v>
      </c>
    </row>
    <row r="376" spans="1:15" x14ac:dyDescent="0.3">
      <c r="A376">
        <v>2019</v>
      </c>
      <c r="B376">
        <v>3</v>
      </c>
      <c r="C376" t="s">
        <v>20</v>
      </c>
      <c r="D376" t="s">
        <v>17</v>
      </c>
      <c r="E376">
        <v>6492</v>
      </c>
      <c r="F376" s="2">
        <v>76452</v>
      </c>
      <c r="G376" s="1">
        <v>496326384</v>
      </c>
      <c r="H376">
        <v>5.0999999999999997E-2</v>
      </c>
      <c r="I376">
        <v>15.71</v>
      </c>
      <c r="J376" s="3">
        <v>2.9</v>
      </c>
      <c r="M376" t="str">
        <f t="shared" si="16"/>
        <v>High Growth</v>
      </c>
      <c r="N376" s="2">
        <f t="shared" si="17"/>
        <v>54599997295</v>
      </c>
      <c r="O376" s="12">
        <f t="shared" si="15"/>
        <v>43525</v>
      </c>
    </row>
    <row r="377" spans="1:15" x14ac:dyDescent="0.3">
      <c r="A377">
        <v>2019</v>
      </c>
      <c r="B377">
        <v>3</v>
      </c>
      <c r="C377" t="s">
        <v>20</v>
      </c>
      <c r="D377" t="s">
        <v>18</v>
      </c>
      <c r="E377">
        <v>6427</v>
      </c>
      <c r="F377" s="2">
        <v>40493</v>
      </c>
      <c r="G377" s="1">
        <v>260248511</v>
      </c>
      <c r="H377">
        <v>4.9000000000000002E-2</v>
      </c>
      <c r="I377">
        <v>15.71</v>
      </c>
      <c r="J377" s="3">
        <v>2.9</v>
      </c>
      <c r="M377" t="str">
        <f t="shared" si="16"/>
        <v>High Growth</v>
      </c>
      <c r="N377" s="2">
        <f t="shared" si="17"/>
        <v>54599997295</v>
      </c>
      <c r="O377" s="12">
        <f t="shared" si="15"/>
        <v>43525</v>
      </c>
    </row>
    <row r="378" spans="1:15" x14ac:dyDescent="0.3">
      <c r="A378">
        <v>2019</v>
      </c>
      <c r="B378">
        <v>3</v>
      </c>
      <c r="C378" t="s">
        <v>21</v>
      </c>
      <c r="D378" t="s">
        <v>11</v>
      </c>
      <c r="E378">
        <v>3965</v>
      </c>
      <c r="F378" s="2">
        <v>49712</v>
      </c>
      <c r="G378" s="1">
        <v>197108080</v>
      </c>
      <c r="H378">
        <v>5.2999999999999999E-2</v>
      </c>
      <c r="I378">
        <v>6.8</v>
      </c>
      <c r="J378" s="3">
        <v>2.89</v>
      </c>
      <c r="M378" t="str">
        <f t="shared" si="16"/>
        <v>High Growth</v>
      </c>
      <c r="N378" s="2">
        <f t="shared" si="17"/>
        <v>55528754190</v>
      </c>
      <c r="O378" s="12">
        <f t="shared" si="15"/>
        <v>43525</v>
      </c>
    </row>
    <row r="379" spans="1:15" x14ac:dyDescent="0.3">
      <c r="A379">
        <v>2019</v>
      </c>
      <c r="B379">
        <v>3</v>
      </c>
      <c r="C379" t="s">
        <v>21</v>
      </c>
      <c r="D379" t="s">
        <v>12</v>
      </c>
      <c r="E379">
        <v>4381</v>
      </c>
      <c r="F379" s="2">
        <v>60821</v>
      </c>
      <c r="G379" s="1">
        <v>266456801</v>
      </c>
      <c r="H379">
        <v>4.1000000000000002E-2</v>
      </c>
      <c r="I379">
        <v>6.8</v>
      </c>
      <c r="J379" s="3">
        <v>2.89</v>
      </c>
      <c r="M379" t="str">
        <f t="shared" si="16"/>
        <v>High Growth</v>
      </c>
      <c r="N379" s="2">
        <f t="shared" si="17"/>
        <v>55528754190</v>
      </c>
      <c r="O379" s="12">
        <f t="shared" si="15"/>
        <v>43525</v>
      </c>
    </row>
    <row r="380" spans="1:15" x14ac:dyDescent="0.3">
      <c r="A380">
        <v>2019</v>
      </c>
      <c r="B380">
        <v>3</v>
      </c>
      <c r="C380" t="s">
        <v>21</v>
      </c>
      <c r="D380" t="s">
        <v>13</v>
      </c>
      <c r="E380">
        <v>3346</v>
      </c>
      <c r="F380" s="2">
        <v>56916</v>
      </c>
      <c r="G380" s="1">
        <v>190440936</v>
      </c>
      <c r="H380">
        <v>3.2000000000000001E-2</v>
      </c>
      <c r="I380">
        <v>6.8</v>
      </c>
      <c r="J380" s="3">
        <v>2.89</v>
      </c>
      <c r="M380" t="str">
        <f t="shared" si="16"/>
        <v>High Growth</v>
      </c>
      <c r="N380" s="2">
        <f t="shared" si="17"/>
        <v>55528754190</v>
      </c>
      <c r="O380" s="12">
        <f t="shared" si="15"/>
        <v>43525</v>
      </c>
    </row>
    <row r="381" spans="1:15" x14ac:dyDescent="0.3">
      <c r="A381">
        <v>2019</v>
      </c>
      <c r="B381">
        <v>3</v>
      </c>
      <c r="C381" t="s">
        <v>21</v>
      </c>
      <c r="D381" t="s">
        <v>14</v>
      </c>
      <c r="E381">
        <v>6089</v>
      </c>
      <c r="F381" s="2">
        <v>69652</v>
      </c>
      <c r="G381" s="1">
        <v>424111028</v>
      </c>
      <c r="H381">
        <v>2.9000000000000001E-2</v>
      </c>
      <c r="I381">
        <v>6.8</v>
      </c>
      <c r="J381" s="3">
        <v>2.89</v>
      </c>
      <c r="M381" t="str">
        <f t="shared" si="16"/>
        <v>Low Growth</v>
      </c>
      <c r="N381" s="2">
        <f t="shared" si="17"/>
        <v>55528754190</v>
      </c>
      <c r="O381" s="12">
        <f t="shared" si="15"/>
        <v>43525</v>
      </c>
    </row>
    <row r="382" spans="1:15" x14ac:dyDescent="0.3">
      <c r="A382">
        <v>2019</v>
      </c>
      <c r="B382">
        <v>3</v>
      </c>
      <c r="C382" t="s">
        <v>21</v>
      </c>
      <c r="D382" t="s">
        <v>15</v>
      </c>
      <c r="E382">
        <v>9168</v>
      </c>
      <c r="F382" s="2">
        <v>92338</v>
      </c>
      <c r="G382" s="1">
        <v>846554784</v>
      </c>
      <c r="H382">
        <v>5.6000000000000001E-2</v>
      </c>
      <c r="I382">
        <v>6.8</v>
      </c>
      <c r="J382" s="3">
        <v>2.89</v>
      </c>
      <c r="M382" t="str">
        <f t="shared" si="16"/>
        <v>High Growth</v>
      </c>
      <c r="N382" s="2">
        <f t="shared" si="17"/>
        <v>55528754190</v>
      </c>
      <c r="O382" s="12">
        <f t="shared" si="15"/>
        <v>43525</v>
      </c>
    </row>
    <row r="383" spans="1:15" x14ac:dyDescent="0.3">
      <c r="A383">
        <v>2019</v>
      </c>
      <c r="B383">
        <v>3</v>
      </c>
      <c r="C383" t="s">
        <v>21</v>
      </c>
      <c r="D383" t="s">
        <v>16</v>
      </c>
      <c r="E383">
        <v>9697</v>
      </c>
      <c r="F383" s="2">
        <v>65149</v>
      </c>
      <c r="G383" s="1">
        <v>631749853</v>
      </c>
      <c r="H383">
        <v>6.7000000000000004E-2</v>
      </c>
      <c r="I383">
        <v>6.8</v>
      </c>
      <c r="J383" s="3">
        <v>2.89</v>
      </c>
      <c r="M383" t="str">
        <f t="shared" si="16"/>
        <v>High Growth</v>
      </c>
      <c r="N383" s="2">
        <f t="shared" si="17"/>
        <v>55528754190</v>
      </c>
      <c r="O383" s="12">
        <f t="shared" si="15"/>
        <v>43525</v>
      </c>
    </row>
    <row r="384" spans="1:15" x14ac:dyDescent="0.3">
      <c r="A384">
        <v>2019</v>
      </c>
      <c r="B384">
        <v>3</v>
      </c>
      <c r="C384" t="s">
        <v>21</v>
      </c>
      <c r="D384" t="s">
        <v>17</v>
      </c>
      <c r="E384">
        <v>10774</v>
      </c>
      <c r="F384" s="2">
        <v>73961</v>
      </c>
      <c r="G384" s="1">
        <v>796855814</v>
      </c>
      <c r="H384">
        <v>0.05</v>
      </c>
      <c r="I384">
        <v>6.8</v>
      </c>
      <c r="J384" s="3">
        <v>2.89</v>
      </c>
      <c r="M384" t="str">
        <f t="shared" si="16"/>
        <v>High Growth</v>
      </c>
      <c r="N384" s="2">
        <f t="shared" si="17"/>
        <v>55528754190</v>
      </c>
      <c r="O384" s="12">
        <f t="shared" si="15"/>
        <v>43525</v>
      </c>
    </row>
    <row r="385" spans="1:15" x14ac:dyDescent="0.3">
      <c r="A385">
        <v>2019</v>
      </c>
      <c r="B385">
        <v>3</v>
      </c>
      <c r="C385" t="s">
        <v>21</v>
      </c>
      <c r="D385" t="s">
        <v>18</v>
      </c>
      <c r="E385">
        <v>6219</v>
      </c>
      <c r="F385" s="2">
        <v>43848</v>
      </c>
      <c r="G385" s="1">
        <v>272690712</v>
      </c>
      <c r="H385">
        <v>3.5000000000000003E-2</v>
      </c>
      <c r="I385">
        <v>6.8</v>
      </c>
      <c r="J385" s="3">
        <v>2.89</v>
      </c>
      <c r="M385" t="str">
        <f t="shared" si="16"/>
        <v>High Growth</v>
      </c>
      <c r="N385" s="2">
        <f t="shared" si="17"/>
        <v>55528754190</v>
      </c>
      <c r="O385" s="12">
        <f t="shared" si="15"/>
        <v>43525</v>
      </c>
    </row>
    <row r="386" spans="1:15" x14ac:dyDescent="0.3">
      <c r="A386">
        <v>2019</v>
      </c>
      <c r="B386">
        <v>4</v>
      </c>
      <c r="C386" t="s">
        <v>10</v>
      </c>
      <c r="D386" t="s">
        <v>11</v>
      </c>
      <c r="E386">
        <v>3597</v>
      </c>
      <c r="F386" s="2">
        <v>47763</v>
      </c>
      <c r="G386" s="1">
        <v>171803511</v>
      </c>
      <c r="H386">
        <v>2.9000000000000001E-2</v>
      </c>
      <c r="I386">
        <v>17.63</v>
      </c>
      <c r="J386" s="3">
        <v>3.98</v>
      </c>
      <c r="M386" t="str">
        <f t="shared" si="16"/>
        <v>Low Growth</v>
      </c>
      <c r="N386" s="2">
        <f t="shared" si="17"/>
        <v>56325491359</v>
      </c>
      <c r="O386" s="12">
        <f t="shared" ref="O386:O449" si="18">DATE(A386,B386,1)</f>
        <v>43556</v>
      </c>
    </row>
    <row r="387" spans="1:15" x14ac:dyDescent="0.3">
      <c r="A387">
        <v>2019</v>
      </c>
      <c r="B387">
        <v>4</v>
      </c>
      <c r="C387" t="s">
        <v>10</v>
      </c>
      <c r="D387" t="s">
        <v>12</v>
      </c>
      <c r="E387">
        <v>10503</v>
      </c>
      <c r="F387" s="2">
        <v>60943</v>
      </c>
      <c r="G387" s="1">
        <v>640084329</v>
      </c>
      <c r="H387">
        <v>4.7E-2</v>
      </c>
      <c r="I387">
        <v>17.63</v>
      </c>
      <c r="J387" s="3">
        <v>3.98</v>
      </c>
      <c r="M387" t="str">
        <f t="shared" ref="M387:M450" si="19">IF(H387&gt;0.03,"High Growth","Low Growth")</f>
        <v>High Growth</v>
      </c>
      <c r="N387" s="2">
        <f t="shared" ref="N387:N450" si="20">SUMIF(C:C, C387, G:G)</f>
        <v>56325491359</v>
      </c>
      <c r="O387" s="12">
        <f t="shared" si="18"/>
        <v>43556</v>
      </c>
    </row>
    <row r="388" spans="1:15" x14ac:dyDescent="0.3">
      <c r="A388">
        <v>2019</v>
      </c>
      <c r="B388">
        <v>4</v>
      </c>
      <c r="C388" t="s">
        <v>10</v>
      </c>
      <c r="D388" t="s">
        <v>13</v>
      </c>
      <c r="E388">
        <v>7774</v>
      </c>
      <c r="F388" s="2">
        <v>58474</v>
      </c>
      <c r="G388" s="1">
        <v>454576876</v>
      </c>
      <c r="H388">
        <v>5.3999999999999999E-2</v>
      </c>
      <c r="I388">
        <v>17.63</v>
      </c>
      <c r="J388" s="3">
        <v>3.98</v>
      </c>
      <c r="M388" t="str">
        <f t="shared" si="19"/>
        <v>High Growth</v>
      </c>
      <c r="N388" s="2">
        <f t="shared" si="20"/>
        <v>56325491359</v>
      </c>
      <c r="O388" s="12">
        <f t="shared" si="18"/>
        <v>43556</v>
      </c>
    </row>
    <row r="389" spans="1:15" x14ac:dyDescent="0.3">
      <c r="A389">
        <v>2019</v>
      </c>
      <c r="B389">
        <v>4</v>
      </c>
      <c r="C389" t="s">
        <v>10</v>
      </c>
      <c r="D389" t="s">
        <v>14</v>
      </c>
      <c r="E389">
        <v>11444</v>
      </c>
      <c r="F389" s="2">
        <v>67020</v>
      </c>
      <c r="G389" s="1">
        <v>766976880</v>
      </c>
      <c r="H389">
        <v>5.5E-2</v>
      </c>
      <c r="I389">
        <v>17.63</v>
      </c>
      <c r="J389" s="3">
        <v>3.98</v>
      </c>
      <c r="M389" t="str">
        <f t="shared" si="19"/>
        <v>High Growth</v>
      </c>
      <c r="N389" s="2">
        <f t="shared" si="20"/>
        <v>56325491359</v>
      </c>
      <c r="O389" s="12">
        <f t="shared" si="18"/>
        <v>43556</v>
      </c>
    </row>
    <row r="390" spans="1:15" x14ac:dyDescent="0.3">
      <c r="A390">
        <v>2019</v>
      </c>
      <c r="B390">
        <v>4</v>
      </c>
      <c r="C390" t="s">
        <v>10</v>
      </c>
      <c r="D390" t="s">
        <v>15</v>
      </c>
      <c r="E390">
        <v>2843</v>
      </c>
      <c r="F390" s="2">
        <v>93188</v>
      </c>
      <c r="G390" s="1">
        <v>264933484</v>
      </c>
      <c r="H390">
        <v>5.3999999999999999E-2</v>
      </c>
      <c r="I390">
        <v>17.63</v>
      </c>
      <c r="J390" s="3">
        <v>3.98</v>
      </c>
      <c r="M390" t="str">
        <f t="shared" si="19"/>
        <v>High Growth</v>
      </c>
      <c r="N390" s="2">
        <f t="shared" si="20"/>
        <v>56325491359</v>
      </c>
      <c r="O390" s="12">
        <f t="shared" si="18"/>
        <v>43556</v>
      </c>
    </row>
    <row r="391" spans="1:15" x14ac:dyDescent="0.3">
      <c r="A391">
        <v>2019</v>
      </c>
      <c r="B391">
        <v>4</v>
      </c>
      <c r="C391" t="s">
        <v>10</v>
      </c>
      <c r="D391" t="s">
        <v>16</v>
      </c>
      <c r="E391">
        <v>7576</v>
      </c>
      <c r="F391" s="2">
        <v>65446</v>
      </c>
      <c r="G391" s="1">
        <v>495818896</v>
      </c>
      <c r="H391">
        <v>4.2999999999999997E-2</v>
      </c>
      <c r="I391">
        <v>17.63</v>
      </c>
      <c r="J391" s="3">
        <v>3.98</v>
      </c>
      <c r="M391" t="str">
        <f t="shared" si="19"/>
        <v>High Growth</v>
      </c>
      <c r="N391" s="2">
        <f t="shared" si="20"/>
        <v>56325491359</v>
      </c>
      <c r="O391" s="12">
        <f t="shared" si="18"/>
        <v>43556</v>
      </c>
    </row>
    <row r="392" spans="1:15" x14ac:dyDescent="0.3">
      <c r="A392">
        <v>2019</v>
      </c>
      <c r="B392">
        <v>4</v>
      </c>
      <c r="C392" t="s">
        <v>10</v>
      </c>
      <c r="D392" t="s">
        <v>17</v>
      </c>
      <c r="E392">
        <v>9233</v>
      </c>
      <c r="F392" s="2">
        <v>73323</v>
      </c>
      <c r="G392" s="1">
        <v>676991259</v>
      </c>
      <c r="H392">
        <v>3.3000000000000002E-2</v>
      </c>
      <c r="I392">
        <v>17.63</v>
      </c>
      <c r="J392" s="3">
        <v>3.98</v>
      </c>
      <c r="M392" t="str">
        <f t="shared" si="19"/>
        <v>High Growth</v>
      </c>
      <c r="N392" s="2">
        <f t="shared" si="20"/>
        <v>56325491359</v>
      </c>
      <c r="O392" s="12">
        <f t="shared" si="18"/>
        <v>43556</v>
      </c>
    </row>
    <row r="393" spans="1:15" x14ac:dyDescent="0.3">
      <c r="A393">
        <v>2019</v>
      </c>
      <c r="B393">
        <v>4</v>
      </c>
      <c r="C393" t="s">
        <v>10</v>
      </c>
      <c r="D393" t="s">
        <v>18</v>
      </c>
      <c r="E393">
        <v>2583</v>
      </c>
      <c r="F393" s="2">
        <v>40469</v>
      </c>
      <c r="G393" s="1">
        <v>104531427</v>
      </c>
      <c r="H393">
        <v>0.06</v>
      </c>
      <c r="I393">
        <v>17.63</v>
      </c>
      <c r="J393" s="3">
        <v>3.98</v>
      </c>
      <c r="M393" t="str">
        <f t="shared" si="19"/>
        <v>High Growth</v>
      </c>
      <c r="N393" s="2">
        <f t="shared" si="20"/>
        <v>56325491359</v>
      </c>
      <c r="O393" s="12">
        <f t="shared" si="18"/>
        <v>43556</v>
      </c>
    </row>
    <row r="394" spans="1:15" x14ac:dyDescent="0.3">
      <c r="A394">
        <v>2019</v>
      </c>
      <c r="B394">
        <v>4</v>
      </c>
      <c r="C394" t="s">
        <v>19</v>
      </c>
      <c r="D394" t="s">
        <v>11</v>
      </c>
      <c r="E394">
        <v>10826</v>
      </c>
      <c r="F394" s="2">
        <v>48798</v>
      </c>
      <c r="G394" s="1">
        <v>528287148</v>
      </c>
      <c r="H394">
        <v>3.5000000000000003E-2</v>
      </c>
      <c r="I394">
        <v>18.32</v>
      </c>
      <c r="J394" s="3">
        <v>2.5299999999999998</v>
      </c>
      <c r="M394" t="str">
        <f t="shared" si="19"/>
        <v>High Growth</v>
      </c>
      <c r="N394" s="2">
        <f t="shared" si="20"/>
        <v>58905926051</v>
      </c>
      <c r="O394" s="12">
        <f t="shared" si="18"/>
        <v>43556</v>
      </c>
    </row>
    <row r="395" spans="1:15" x14ac:dyDescent="0.3">
      <c r="A395">
        <v>2019</v>
      </c>
      <c r="B395">
        <v>4</v>
      </c>
      <c r="C395" t="s">
        <v>19</v>
      </c>
      <c r="D395" t="s">
        <v>12</v>
      </c>
      <c r="E395">
        <v>9600</v>
      </c>
      <c r="F395" s="2">
        <v>60105</v>
      </c>
      <c r="G395" s="1">
        <v>577008000</v>
      </c>
      <c r="H395">
        <v>3.4000000000000002E-2</v>
      </c>
      <c r="I395">
        <v>18.32</v>
      </c>
      <c r="J395" s="3">
        <v>2.5299999999999998</v>
      </c>
      <c r="M395" t="str">
        <f t="shared" si="19"/>
        <v>High Growth</v>
      </c>
      <c r="N395" s="2">
        <f t="shared" si="20"/>
        <v>58905926051</v>
      </c>
      <c r="O395" s="12">
        <f t="shared" si="18"/>
        <v>43556</v>
      </c>
    </row>
    <row r="396" spans="1:15" x14ac:dyDescent="0.3">
      <c r="A396">
        <v>2019</v>
      </c>
      <c r="B396">
        <v>4</v>
      </c>
      <c r="C396" t="s">
        <v>19</v>
      </c>
      <c r="D396" t="s">
        <v>13</v>
      </c>
      <c r="E396">
        <v>7866</v>
      </c>
      <c r="F396" s="2">
        <v>58636</v>
      </c>
      <c r="G396" s="1">
        <v>461230776</v>
      </c>
      <c r="H396">
        <v>3.7999999999999999E-2</v>
      </c>
      <c r="I396">
        <v>18.32</v>
      </c>
      <c r="J396" s="3">
        <v>2.5299999999999998</v>
      </c>
      <c r="M396" t="str">
        <f t="shared" si="19"/>
        <v>High Growth</v>
      </c>
      <c r="N396" s="2">
        <f t="shared" si="20"/>
        <v>58905926051</v>
      </c>
      <c r="O396" s="12">
        <f t="shared" si="18"/>
        <v>43556</v>
      </c>
    </row>
    <row r="397" spans="1:15" x14ac:dyDescent="0.3">
      <c r="A397">
        <v>2019</v>
      </c>
      <c r="B397">
        <v>4</v>
      </c>
      <c r="C397" t="s">
        <v>19</v>
      </c>
      <c r="D397" t="s">
        <v>14</v>
      </c>
      <c r="E397">
        <v>9087</v>
      </c>
      <c r="F397" s="2">
        <v>69137</v>
      </c>
      <c r="G397" s="1">
        <v>628247919</v>
      </c>
      <c r="H397">
        <v>6.0999999999999999E-2</v>
      </c>
      <c r="I397">
        <v>18.32</v>
      </c>
      <c r="J397" s="3">
        <v>2.5299999999999998</v>
      </c>
      <c r="M397" t="str">
        <f t="shared" si="19"/>
        <v>High Growth</v>
      </c>
      <c r="N397" s="2">
        <f t="shared" si="20"/>
        <v>58905926051</v>
      </c>
      <c r="O397" s="12">
        <f t="shared" si="18"/>
        <v>43556</v>
      </c>
    </row>
    <row r="398" spans="1:15" x14ac:dyDescent="0.3">
      <c r="A398">
        <v>2019</v>
      </c>
      <c r="B398">
        <v>4</v>
      </c>
      <c r="C398" t="s">
        <v>19</v>
      </c>
      <c r="D398" t="s">
        <v>15</v>
      </c>
      <c r="E398">
        <v>6795</v>
      </c>
      <c r="F398" s="2">
        <v>93657</v>
      </c>
      <c r="G398" s="1">
        <v>636399315</v>
      </c>
      <c r="H398">
        <v>5.0999999999999997E-2</v>
      </c>
      <c r="I398">
        <v>18.32</v>
      </c>
      <c r="J398" s="3">
        <v>2.5299999999999998</v>
      </c>
      <c r="M398" t="str">
        <f t="shared" si="19"/>
        <v>High Growth</v>
      </c>
      <c r="N398" s="2">
        <f t="shared" si="20"/>
        <v>58905926051</v>
      </c>
      <c r="O398" s="12">
        <f t="shared" si="18"/>
        <v>43556</v>
      </c>
    </row>
    <row r="399" spans="1:15" x14ac:dyDescent="0.3">
      <c r="A399">
        <v>2019</v>
      </c>
      <c r="B399">
        <v>4</v>
      </c>
      <c r="C399" t="s">
        <v>19</v>
      </c>
      <c r="D399" t="s">
        <v>16</v>
      </c>
      <c r="E399">
        <v>9346</v>
      </c>
      <c r="F399" s="2">
        <v>65206</v>
      </c>
      <c r="G399" s="1">
        <v>609415276</v>
      </c>
      <c r="H399">
        <v>3.5000000000000003E-2</v>
      </c>
      <c r="I399">
        <v>18.32</v>
      </c>
      <c r="J399" s="3">
        <v>2.5299999999999998</v>
      </c>
      <c r="M399" t="str">
        <f t="shared" si="19"/>
        <v>High Growth</v>
      </c>
      <c r="N399" s="2">
        <f t="shared" si="20"/>
        <v>58905926051</v>
      </c>
      <c r="O399" s="12">
        <f t="shared" si="18"/>
        <v>43556</v>
      </c>
    </row>
    <row r="400" spans="1:15" x14ac:dyDescent="0.3">
      <c r="A400">
        <v>2019</v>
      </c>
      <c r="B400">
        <v>4</v>
      </c>
      <c r="C400" t="s">
        <v>19</v>
      </c>
      <c r="D400" t="s">
        <v>17</v>
      </c>
      <c r="E400">
        <v>6021</v>
      </c>
      <c r="F400" s="2">
        <v>73444</v>
      </c>
      <c r="G400" s="1">
        <v>442206324</v>
      </c>
      <c r="H400">
        <v>5.3999999999999999E-2</v>
      </c>
      <c r="I400">
        <v>18.32</v>
      </c>
      <c r="J400" s="3">
        <v>2.5299999999999998</v>
      </c>
      <c r="M400" t="str">
        <f t="shared" si="19"/>
        <v>High Growth</v>
      </c>
      <c r="N400" s="2">
        <f t="shared" si="20"/>
        <v>58905926051</v>
      </c>
      <c r="O400" s="12">
        <f t="shared" si="18"/>
        <v>43556</v>
      </c>
    </row>
    <row r="401" spans="1:15" x14ac:dyDescent="0.3">
      <c r="A401">
        <v>2019</v>
      </c>
      <c r="B401">
        <v>4</v>
      </c>
      <c r="C401" t="s">
        <v>19</v>
      </c>
      <c r="D401" t="s">
        <v>18</v>
      </c>
      <c r="E401">
        <v>8748</v>
      </c>
      <c r="F401" s="2">
        <v>40951</v>
      </c>
      <c r="G401" s="1">
        <v>358239348</v>
      </c>
      <c r="H401">
        <v>3.7999999999999999E-2</v>
      </c>
      <c r="I401">
        <v>18.32</v>
      </c>
      <c r="J401" s="3">
        <v>2.5299999999999998</v>
      </c>
      <c r="M401" t="str">
        <f t="shared" si="19"/>
        <v>High Growth</v>
      </c>
      <c r="N401" s="2">
        <f t="shared" si="20"/>
        <v>58905926051</v>
      </c>
      <c r="O401" s="12">
        <f t="shared" si="18"/>
        <v>43556</v>
      </c>
    </row>
    <row r="402" spans="1:15" x14ac:dyDescent="0.3">
      <c r="A402">
        <v>2019</v>
      </c>
      <c r="B402">
        <v>4</v>
      </c>
      <c r="C402" t="s">
        <v>20</v>
      </c>
      <c r="D402" t="s">
        <v>11</v>
      </c>
      <c r="E402">
        <v>7623</v>
      </c>
      <c r="F402" s="2">
        <v>48938</v>
      </c>
      <c r="G402" s="1">
        <v>373054374</v>
      </c>
      <c r="H402">
        <v>4.5999999999999999E-2</v>
      </c>
      <c r="I402">
        <v>19.64</v>
      </c>
      <c r="J402" s="3">
        <v>2.98</v>
      </c>
      <c r="M402" t="str">
        <f t="shared" si="19"/>
        <v>High Growth</v>
      </c>
      <c r="N402" s="2">
        <f t="shared" si="20"/>
        <v>54599997295</v>
      </c>
      <c r="O402" s="12">
        <f t="shared" si="18"/>
        <v>43556</v>
      </c>
    </row>
    <row r="403" spans="1:15" x14ac:dyDescent="0.3">
      <c r="A403">
        <v>2019</v>
      </c>
      <c r="B403">
        <v>4</v>
      </c>
      <c r="C403" t="s">
        <v>20</v>
      </c>
      <c r="D403" t="s">
        <v>12</v>
      </c>
      <c r="E403">
        <v>8595</v>
      </c>
      <c r="F403" s="2">
        <v>62934</v>
      </c>
      <c r="G403" s="1">
        <v>540917730</v>
      </c>
      <c r="H403">
        <v>4.1000000000000002E-2</v>
      </c>
      <c r="I403">
        <v>19.64</v>
      </c>
      <c r="J403" s="3">
        <v>2.98</v>
      </c>
      <c r="M403" t="str">
        <f t="shared" si="19"/>
        <v>High Growth</v>
      </c>
      <c r="N403" s="2">
        <f t="shared" si="20"/>
        <v>54599997295</v>
      </c>
      <c r="O403" s="12">
        <f t="shared" si="18"/>
        <v>43556</v>
      </c>
    </row>
    <row r="404" spans="1:15" x14ac:dyDescent="0.3">
      <c r="A404">
        <v>2019</v>
      </c>
      <c r="B404">
        <v>4</v>
      </c>
      <c r="C404" t="s">
        <v>20</v>
      </c>
      <c r="D404" t="s">
        <v>13</v>
      </c>
      <c r="E404">
        <v>9574</v>
      </c>
      <c r="F404" s="2">
        <v>59097</v>
      </c>
      <c r="G404" s="1">
        <v>565794678</v>
      </c>
      <c r="H404">
        <v>7.0000000000000007E-2</v>
      </c>
      <c r="I404">
        <v>19.64</v>
      </c>
      <c r="J404" s="3">
        <v>2.98</v>
      </c>
      <c r="M404" t="str">
        <f t="shared" si="19"/>
        <v>High Growth</v>
      </c>
      <c r="N404" s="2">
        <f t="shared" si="20"/>
        <v>54599997295</v>
      </c>
      <c r="O404" s="12">
        <f t="shared" si="18"/>
        <v>43556</v>
      </c>
    </row>
    <row r="405" spans="1:15" x14ac:dyDescent="0.3">
      <c r="A405">
        <v>2019</v>
      </c>
      <c r="B405">
        <v>4</v>
      </c>
      <c r="C405" t="s">
        <v>20</v>
      </c>
      <c r="D405" t="s">
        <v>14</v>
      </c>
      <c r="E405">
        <v>6963</v>
      </c>
      <c r="F405" s="2">
        <v>68806</v>
      </c>
      <c r="G405" s="1">
        <v>479096178</v>
      </c>
      <c r="H405">
        <v>4.9000000000000002E-2</v>
      </c>
      <c r="I405">
        <v>19.64</v>
      </c>
      <c r="J405" s="3">
        <v>2.98</v>
      </c>
      <c r="M405" t="str">
        <f t="shared" si="19"/>
        <v>High Growth</v>
      </c>
      <c r="N405" s="2">
        <f t="shared" si="20"/>
        <v>54599997295</v>
      </c>
      <c r="O405" s="12">
        <f t="shared" si="18"/>
        <v>43556</v>
      </c>
    </row>
    <row r="406" spans="1:15" x14ac:dyDescent="0.3">
      <c r="A406">
        <v>2019</v>
      </c>
      <c r="B406">
        <v>4</v>
      </c>
      <c r="C406" t="s">
        <v>20</v>
      </c>
      <c r="D406" t="s">
        <v>15</v>
      </c>
      <c r="E406">
        <v>2455</v>
      </c>
      <c r="F406" s="2">
        <v>92729</v>
      </c>
      <c r="G406" s="1">
        <v>227649695</v>
      </c>
      <c r="H406">
        <v>0.04</v>
      </c>
      <c r="I406">
        <v>19.64</v>
      </c>
      <c r="J406" s="3">
        <v>2.98</v>
      </c>
      <c r="M406" t="str">
        <f t="shared" si="19"/>
        <v>High Growth</v>
      </c>
      <c r="N406" s="2">
        <f t="shared" si="20"/>
        <v>54599997295</v>
      </c>
      <c r="O406" s="12">
        <f t="shared" si="18"/>
        <v>43556</v>
      </c>
    </row>
    <row r="407" spans="1:15" x14ac:dyDescent="0.3">
      <c r="A407">
        <v>2019</v>
      </c>
      <c r="B407">
        <v>4</v>
      </c>
      <c r="C407" t="s">
        <v>20</v>
      </c>
      <c r="D407" t="s">
        <v>16</v>
      </c>
      <c r="E407">
        <v>8605</v>
      </c>
      <c r="F407" s="2">
        <v>63719</v>
      </c>
      <c r="G407" s="1">
        <v>548301995</v>
      </c>
      <c r="H407">
        <v>3.4000000000000002E-2</v>
      </c>
      <c r="I407">
        <v>19.64</v>
      </c>
      <c r="J407" s="3">
        <v>2.98</v>
      </c>
      <c r="M407" t="str">
        <f t="shared" si="19"/>
        <v>High Growth</v>
      </c>
      <c r="N407" s="2">
        <f t="shared" si="20"/>
        <v>54599997295</v>
      </c>
      <c r="O407" s="12">
        <f t="shared" si="18"/>
        <v>43556</v>
      </c>
    </row>
    <row r="408" spans="1:15" x14ac:dyDescent="0.3">
      <c r="A408">
        <v>2019</v>
      </c>
      <c r="B408">
        <v>4</v>
      </c>
      <c r="C408" t="s">
        <v>20</v>
      </c>
      <c r="D408" t="s">
        <v>17</v>
      </c>
      <c r="E408">
        <v>3495</v>
      </c>
      <c r="F408" s="2">
        <v>73049</v>
      </c>
      <c r="G408" s="1">
        <v>255306255</v>
      </c>
      <c r="H408">
        <v>5.1999999999999998E-2</v>
      </c>
      <c r="I408">
        <v>19.64</v>
      </c>
      <c r="J408" s="3">
        <v>2.98</v>
      </c>
      <c r="M408" t="str">
        <f t="shared" si="19"/>
        <v>High Growth</v>
      </c>
      <c r="N408" s="2">
        <f t="shared" si="20"/>
        <v>54599997295</v>
      </c>
      <c r="O408" s="12">
        <f t="shared" si="18"/>
        <v>43556</v>
      </c>
    </row>
    <row r="409" spans="1:15" x14ac:dyDescent="0.3">
      <c r="A409">
        <v>2019</v>
      </c>
      <c r="B409">
        <v>4</v>
      </c>
      <c r="C409" t="s">
        <v>20</v>
      </c>
      <c r="D409" t="s">
        <v>18</v>
      </c>
      <c r="E409">
        <v>9106</v>
      </c>
      <c r="F409" s="2">
        <v>42578</v>
      </c>
      <c r="G409" s="1">
        <v>387715268</v>
      </c>
      <c r="H409">
        <v>3.7999999999999999E-2</v>
      </c>
      <c r="I409">
        <v>19.64</v>
      </c>
      <c r="J409" s="3">
        <v>2.98</v>
      </c>
      <c r="M409" t="str">
        <f t="shared" si="19"/>
        <v>High Growth</v>
      </c>
      <c r="N409" s="2">
        <f t="shared" si="20"/>
        <v>54599997295</v>
      </c>
      <c r="O409" s="12">
        <f t="shared" si="18"/>
        <v>43556</v>
      </c>
    </row>
    <row r="410" spans="1:15" x14ac:dyDescent="0.3">
      <c r="A410">
        <v>2019</v>
      </c>
      <c r="B410">
        <v>4</v>
      </c>
      <c r="C410" t="s">
        <v>21</v>
      </c>
      <c r="D410" t="s">
        <v>11</v>
      </c>
      <c r="E410">
        <v>7348</v>
      </c>
      <c r="F410" s="2">
        <v>48289</v>
      </c>
      <c r="G410" s="1">
        <v>354827572</v>
      </c>
      <c r="H410">
        <v>3.6999999999999998E-2</v>
      </c>
      <c r="I410">
        <v>6.62</v>
      </c>
      <c r="J410" s="3">
        <v>3.44</v>
      </c>
      <c r="M410" t="str">
        <f t="shared" si="19"/>
        <v>High Growth</v>
      </c>
      <c r="N410" s="2">
        <f t="shared" si="20"/>
        <v>55528754190</v>
      </c>
      <c r="O410" s="12">
        <f t="shared" si="18"/>
        <v>43556</v>
      </c>
    </row>
    <row r="411" spans="1:15" x14ac:dyDescent="0.3">
      <c r="A411">
        <v>2019</v>
      </c>
      <c r="B411">
        <v>4</v>
      </c>
      <c r="C411" t="s">
        <v>21</v>
      </c>
      <c r="D411" t="s">
        <v>12</v>
      </c>
      <c r="E411">
        <v>2917</v>
      </c>
      <c r="F411" s="2">
        <v>63179</v>
      </c>
      <c r="G411" s="1">
        <v>184293143</v>
      </c>
      <c r="H411">
        <v>6.6000000000000003E-2</v>
      </c>
      <c r="I411">
        <v>6.62</v>
      </c>
      <c r="J411" s="3">
        <v>3.44</v>
      </c>
      <c r="M411" t="str">
        <f t="shared" si="19"/>
        <v>High Growth</v>
      </c>
      <c r="N411" s="2">
        <f t="shared" si="20"/>
        <v>55528754190</v>
      </c>
      <c r="O411" s="12">
        <f t="shared" si="18"/>
        <v>43556</v>
      </c>
    </row>
    <row r="412" spans="1:15" x14ac:dyDescent="0.3">
      <c r="A412">
        <v>2019</v>
      </c>
      <c r="B412">
        <v>4</v>
      </c>
      <c r="C412" t="s">
        <v>21</v>
      </c>
      <c r="D412" t="s">
        <v>13</v>
      </c>
      <c r="E412">
        <v>3668</v>
      </c>
      <c r="F412" s="2">
        <v>56661</v>
      </c>
      <c r="G412" s="1">
        <v>207832548</v>
      </c>
      <c r="H412">
        <v>7.0000000000000007E-2</v>
      </c>
      <c r="I412">
        <v>6.62</v>
      </c>
      <c r="J412" s="3">
        <v>3.44</v>
      </c>
      <c r="M412" t="str">
        <f t="shared" si="19"/>
        <v>High Growth</v>
      </c>
      <c r="N412" s="2">
        <f t="shared" si="20"/>
        <v>55528754190</v>
      </c>
      <c r="O412" s="12">
        <f t="shared" si="18"/>
        <v>43556</v>
      </c>
    </row>
    <row r="413" spans="1:15" x14ac:dyDescent="0.3">
      <c r="A413">
        <v>2019</v>
      </c>
      <c r="B413">
        <v>4</v>
      </c>
      <c r="C413" t="s">
        <v>21</v>
      </c>
      <c r="D413" t="s">
        <v>14</v>
      </c>
      <c r="E413">
        <v>5236</v>
      </c>
      <c r="F413" s="2">
        <v>70726</v>
      </c>
      <c r="G413" s="1">
        <v>370321336</v>
      </c>
      <c r="H413">
        <v>2.5999999999999999E-2</v>
      </c>
      <c r="I413">
        <v>6.62</v>
      </c>
      <c r="J413" s="3">
        <v>3.44</v>
      </c>
      <c r="M413" t="str">
        <f t="shared" si="19"/>
        <v>Low Growth</v>
      </c>
      <c r="N413" s="2">
        <f t="shared" si="20"/>
        <v>55528754190</v>
      </c>
      <c r="O413" s="12">
        <f t="shared" si="18"/>
        <v>43556</v>
      </c>
    </row>
    <row r="414" spans="1:15" x14ac:dyDescent="0.3">
      <c r="A414">
        <v>2019</v>
      </c>
      <c r="B414">
        <v>4</v>
      </c>
      <c r="C414" t="s">
        <v>21</v>
      </c>
      <c r="D414" t="s">
        <v>15</v>
      </c>
      <c r="E414">
        <v>3412</v>
      </c>
      <c r="F414" s="2">
        <v>90968</v>
      </c>
      <c r="G414" s="1">
        <v>310382816</v>
      </c>
      <c r="H414">
        <v>5.0999999999999997E-2</v>
      </c>
      <c r="I414">
        <v>6.62</v>
      </c>
      <c r="J414" s="3">
        <v>3.44</v>
      </c>
      <c r="M414" t="str">
        <f t="shared" si="19"/>
        <v>High Growth</v>
      </c>
      <c r="N414" s="2">
        <f t="shared" si="20"/>
        <v>55528754190</v>
      </c>
      <c r="O414" s="12">
        <f t="shared" si="18"/>
        <v>43556</v>
      </c>
    </row>
    <row r="415" spans="1:15" x14ac:dyDescent="0.3">
      <c r="A415">
        <v>2019</v>
      </c>
      <c r="B415">
        <v>4</v>
      </c>
      <c r="C415" t="s">
        <v>21</v>
      </c>
      <c r="D415" t="s">
        <v>16</v>
      </c>
      <c r="E415">
        <v>3522</v>
      </c>
      <c r="F415" s="2">
        <v>65556</v>
      </c>
      <c r="G415" s="1">
        <v>230888232</v>
      </c>
      <c r="H415">
        <v>3.3000000000000002E-2</v>
      </c>
      <c r="I415">
        <v>6.62</v>
      </c>
      <c r="J415" s="3">
        <v>3.44</v>
      </c>
      <c r="M415" t="str">
        <f t="shared" si="19"/>
        <v>High Growth</v>
      </c>
      <c r="N415" s="2">
        <f t="shared" si="20"/>
        <v>55528754190</v>
      </c>
      <c r="O415" s="12">
        <f t="shared" si="18"/>
        <v>43556</v>
      </c>
    </row>
    <row r="416" spans="1:15" x14ac:dyDescent="0.3">
      <c r="A416">
        <v>2019</v>
      </c>
      <c r="B416">
        <v>4</v>
      </c>
      <c r="C416" t="s">
        <v>21</v>
      </c>
      <c r="D416" t="s">
        <v>17</v>
      </c>
      <c r="E416">
        <v>10892</v>
      </c>
      <c r="F416" s="2">
        <v>74826</v>
      </c>
      <c r="G416" s="1">
        <v>815004792</v>
      </c>
      <c r="H416">
        <v>4.8000000000000001E-2</v>
      </c>
      <c r="I416">
        <v>6.62</v>
      </c>
      <c r="J416" s="3">
        <v>3.44</v>
      </c>
      <c r="M416" t="str">
        <f t="shared" si="19"/>
        <v>High Growth</v>
      </c>
      <c r="N416" s="2">
        <f t="shared" si="20"/>
        <v>55528754190</v>
      </c>
      <c r="O416" s="12">
        <f t="shared" si="18"/>
        <v>43556</v>
      </c>
    </row>
    <row r="417" spans="1:15" x14ac:dyDescent="0.3">
      <c r="A417">
        <v>2019</v>
      </c>
      <c r="B417">
        <v>4</v>
      </c>
      <c r="C417" t="s">
        <v>21</v>
      </c>
      <c r="D417" t="s">
        <v>18</v>
      </c>
      <c r="E417">
        <v>6710</v>
      </c>
      <c r="F417" s="2">
        <v>43668</v>
      </c>
      <c r="G417" s="1">
        <v>293012280</v>
      </c>
      <c r="H417">
        <v>4.4999999999999998E-2</v>
      </c>
      <c r="I417">
        <v>6.62</v>
      </c>
      <c r="J417" s="3">
        <v>3.44</v>
      </c>
      <c r="M417" t="str">
        <f t="shared" si="19"/>
        <v>High Growth</v>
      </c>
      <c r="N417" s="2">
        <f t="shared" si="20"/>
        <v>55528754190</v>
      </c>
      <c r="O417" s="12">
        <f t="shared" si="18"/>
        <v>43556</v>
      </c>
    </row>
    <row r="418" spans="1:15" x14ac:dyDescent="0.3">
      <c r="A418">
        <v>2019</v>
      </c>
      <c r="B418">
        <v>7</v>
      </c>
      <c r="C418" t="s">
        <v>10</v>
      </c>
      <c r="D418" t="s">
        <v>11</v>
      </c>
      <c r="E418">
        <v>10394</v>
      </c>
      <c r="F418" s="2">
        <v>46758</v>
      </c>
      <c r="G418" s="1">
        <v>486002652</v>
      </c>
      <c r="H418">
        <v>5.0999999999999997E-2</v>
      </c>
      <c r="I418">
        <v>14.27</v>
      </c>
      <c r="J418" s="3">
        <v>3.68</v>
      </c>
      <c r="M418" t="str">
        <f t="shared" si="19"/>
        <v>High Growth</v>
      </c>
      <c r="N418" s="2">
        <f t="shared" si="20"/>
        <v>56325491359</v>
      </c>
      <c r="O418" s="12">
        <f t="shared" si="18"/>
        <v>43647</v>
      </c>
    </row>
    <row r="419" spans="1:15" x14ac:dyDescent="0.3">
      <c r="A419">
        <v>2019</v>
      </c>
      <c r="B419">
        <v>7</v>
      </c>
      <c r="C419" t="s">
        <v>10</v>
      </c>
      <c r="D419" t="s">
        <v>12</v>
      </c>
      <c r="E419">
        <v>3204</v>
      </c>
      <c r="F419" s="2">
        <v>62773</v>
      </c>
      <c r="G419" s="1">
        <v>201124692</v>
      </c>
      <c r="H419">
        <v>0.05</v>
      </c>
      <c r="I419">
        <v>14.27</v>
      </c>
      <c r="J419" s="3">
        <v>3.68</v>
      </c>
      <c r="M419" t="str">
        <f t="shared" si="19"/>
        <v>High Growth</v>
      </c>
      <c r="N419" s="2">
        <f t="shared" si="20"/>
        <v>56325491359</v>
      </c>
      <c r="O419" s="12">
        <f t="shared" si="18"/>
        <v>43647</v>
      </c>
    </row>
    <row r="420" spans="1:15" x14ac:dyDescent="0.3">
      <c r="A420">
        <v>2019</v>
      </c>
      <c r="B420">
        <v>7</v>
      </c>
      <c r="C420" t="s">
        <v>10</v>
      </c>
      <c r="D420" t="s">
        <v>13</v>
      </c>
      <c r="E420">
        <v>4644</v>
      </c>
      <c r="F420" s="2">
        <v>59926</v>
      </c>
      <c r="G420" s="1">
        <v>278296344</v>
      </c>
      <c r="H420">
        <v>4.9000000000000002E-2</v>
      </c>
      <c r="I420">
        <v>14.27</v>
      </c>
      <c r="J420" s="3">
        <v>3.68</v>
      </c>
      <c r="M420" t="str">
        <f t="shared" si="19"/>
        <v>High Growth</v>
      </c>
      <c r="N420" s="2">
        <f t="shared" si="20"/>
        <v>56325491359</v>
      </c>
      <c r="O420" s="12">
        <f t="shared" si="18"/>
        <v>43647</v>
      </c>
    </row>
    <row r="421" spans="1:15" x14ac:dyDescent="0.3">
      <c r="A421">
        <v>2019</v>
      </c>
      <c r="B421">
        <v>7</v>
      </c>
      <c r="C421" t="s">
        <v>10</v>
      </c>
      <c r="D421" t="s">
        <v>14</v>
      </c>
      <c r="E421">
        <v>11298</v>
      </c>
      <c r="F421" s="2">
        <v>70244</v>
      </c>
      <c r="G421" s="1">
        <v>793616712</v>
      </c>
      <c r="H421">
        <v>4.2000000000000003E-2</v>
      </c>
      <c r="I421">
        <v>14.27</v>
      </c>
      <c r="J421" s="3">
        <v>3.68</v>
      </c>
      <c r="M421" t="str">
        <f t="shared" si="19"/>
        <v>High Growth</v>
      </c>
      <c r="N421" s="2">
        <f t="shared" si="20"/>
        <v>56325491359</v>
      </c>
      <c r="O421" s="12">
        <f t="shared" si="18"/>
        <v>43647</v>
      </c>
    </row>
    <row r="422" spans="1:15" x14ac:dyDescent="0.3">
      <c r="A422">
        <v>2019</v>
      </c>
      <c r="B422">
        <v>7</v>
      </c>
      <c r="C422" t="s">
        <v>10</v>
      </c>
      <c r="D422" t="s">
        <v>15</v>
      </c>
      <c r="E422">
        <v>9376</v>
      </c>
      <c r="F422" s="2">
        <v>90844</v>
      </c>
      <c r="G422" s="1">
        <v>851753344</v>
      </c>
      <c r="H422">
        <v>6.5000000000000002E-2</v>
      </c>
      <c r="I422">
        <v>14.27</v>
      </c>
      <c r="J422" s="3">
        <v>3.68</v>
      </c>
      <c r="M422" t="str">
        <f t="shared" si="19"/>
        <v>High Growth</v>
      </c>
      <c r="N422" s="2">
        <f t="shared" si="20"/>
        <v>56325491359</v>
      </c>
      <c r="O422" s="12">
        <f t="shared" si="18"/>
        <v>43647</v>
      </c>
    </row>
    <row r="423" spans="1:15" x14ac:dyDescent="0.3">
      <c r="A423">
        <v>2019</v>
      </c>
      <c r="B423">
        <v>7</v>
      </c>
      <c r="C423" t="s">
        <v>10</v>
      </c>
      <c r="D423" t="s">
        <v>16</v>
      </c>
      <c r="E423">
        <v>5646</v>
      </c>
      <c r="F423" s="2">
        <v>66576</v>
      </c>
      <c r="G423" s="1">
        <v>375888096</v>
      </c>
      <c r="H423">
        <v>4.5999999999999999E-2</v>
      </c>
      <c r="I423">
        <v>14.27</v>
      </c>
      <c r="J423" s="3">
        <v>3.68</v>
      </c>
      <c r="M423" t="str">
        <f t="shared" si="19"/>
        <v>High Growth</v>
      </c>
      <c r="N423" s="2">
        <f t="shared" si="20"/>
        <v>56325491359</v>
      </c>
      <c r="O423" s="12">
        <f t="shared" si="18"/>
        <v>43647</v>
      </c>
    </row>
    <row r="424" spans="1:15" x14ac:dyDescent="0.3">
      <c r="A424">
        <v>2019</v>
      </c>
      <c r="B424">
        <v>7</v>
      </c>
      <c r="C424" t="s">
        <v>10</v>
      </c>
      <c r="D424" t="s">
        <v>17</v>
      </c>
      <c r="E424">
        <v>5827</v>
      </c>
      <c r="F424" s="2">
        <v>73365</v>
      </c>
      <c r="G424" s="1">
        <v>427497855</v>
      </c>
      <c r="H424">
        <v>3.6999999999999998E-2</v>
      </c>
      <c r="I424">
        <v>14.27</v>
      </c>
      <c r="J424" s="3">
        <v>3.68</v>
      </c>
      <c r="M424" t="str">
        <f t="shared" si="19"/>
        <v>High Growth</v>
      </c>
      <c r="N424" s="2">
        <f t="shared" si="20"/>
        <v>56325491359</v>
      </c>
      <c r="O424" s="12">
        <f t="shared" si="18"/>
        <v>43647</v>
      </c>
    </row>
    <row r="425" spans="1:15" x14ac:dyDescent="0.3">
      <c r="A425">
        <v>2019</v>
      </c>
      <c r="B425">
        <v>7</v>
      </c>
      <c r="C425" t="s">
        <v>10</v>
      </c>
      <c r="D425" t="s">
        <v>18</v>
      </c>
      <c r="E425">
        <v>6879</v>
      </c>
      <c r="F425" s="2">
        <v>40398</v>
      </c>
      <c r="G425" s="1">
        <v>277897842</v>
      </c>
      <c r="H425">
        <v>5.8000000000000003E-2</v>
      </c>
      <c r="I425">
        <v>14.27</v>
      </c>
      <c r="J425" s="3">
        <v>3.68</v>
      </c>
      <c r="M425" t="str">
        <f t="shared" si="19"/>
        <v>High Growth</v>
      </c>
      <c r="N425" s="2">
        <f t="shared" si="20"/>
        <v>56325491359</v>
      </c>
      <c r="O425" s="12">
        <f t="shared" si="18"/>
        <v>43647</v>
      </c>
    </row>
    <row r="426" spans="1:15" x14ac:dyDescent="0.3">
      <c r="A426">
        <v>2019</v>
      </c>
      <c r="B426">
        <v>7</v>
      </c>
      <c r="C426" t="s">
        <v>19</v>
      </c>
      <c r="D426" t="s">
        <v>11</v>
      </c>
      <c r="E426">
        <v>7768</v>
      </c>
      <c r="F426" s="2">
        <v>48415</v>
      </c>
      <c r="G426" s="1">
        <v>376087720</v>
      </c>
      <c r="H426">
        <v>3.6999999999999998E-2</v>
      </c>
      <c r="I426">
        <v>17.850000000000001</v>
      </c>
      <c r="J426" s="3">
        <v>1.92</v>
      </c>
      <c r="M426" t="str">
        <f t="shared" si="19"/>
        <v>High Growth</v>
      </c>
      <c r="N426" s="2">
        <f t="shared" si="20"/>
        <v>58905926051</v>
      </c>
      <c r="O426" s="12">
        <f t="shared" si="18"/>
        <v>43647</v>
      </c>
    </row>
    <row r="427" spans="1:15" x14ac:dyDescent="0.3">
      <c r="A427">
        <v>2019</v>
      </c>
      <c r="B427">
        <v>7</v>
      </c>
      <c r="C427" t="s">
        <v>19</v>
      </c>
      <c r="D427" t="s">
        <v>12</v>
      </c>
      <c r="E427">
        <v>9788</v>
      </c>
      <c r="F427" s="2">
        <v>61246</v>
      </c>
      <c r="G427" s="1">
        <v>599475848</v>
      </c>
      <c r="H427">
        <v>4.3999999999999997E-2</v>
      </c>
      <c r="I427">
        <v>17.850000000000001</v>
      </c>
      <c r="J427" s="3">
        <v>1.92</v>
      </c>
      <c r="M427" t="str">
        <f t="shared" si="19"/>
        <v>High Growth</v>
      </c>
      <c r="N427" s="2">
        <f t="shared" si="20"/>
        <v>58905926051</v>
      </c>
      <c r="O427" s="12">
        <f t="shared" si="18"/>
        <v>43647</v>
      </c>
    </row>
    <row r="428" spans="1:15" x14ac:dyDescent="0.3">
      <c r="A428">
        <v>2019</v>
      </c>
      <c r="B428">
        <v>7</v>
      </c>
      <c r="C428" t="s">
        <v>19</v>
      </c>
      <c r="D428" t="s">
        <v>13</v>
      </c>
      <c r="E428">
        <v>6202</v>
      </c>
      <c r="F428" s="2">
        <v>57640</v>
      </c>
      <c r="G428" s="1">
        <v>357483280</v>
      </c>
      <c r="H428">
        <v>3.5999999999999997E-2</v>
      </c>
      <c r="I428">
        <v>17.850000000000001</v>
      </c>
      <c r="J428" s="3">
        <v>1.92</v>
      </c>
      <c r="M428" t="str">
        <f t="shared" si="19"/>
        <v>High Growth</v>
      </c>
      <c r="N428" s="2">
        <f t="shared" si="20"/>
        <v>58905926051</v>
      </c>
      <c r="O428" s="12">
        <f t="shared" si="18"/>
        <v>43647</v>
      </c>
    </row>
    <row r="429" spans="1:15" x14ac:dyDescent="0.3">
      <c r="A429">
        <v>2019</v>
      </c>
      <c r="B429">
        <v>7</v>
      </c>
      <c r="C429" t="s">
        <v>19</v>
      </c>
      <c r="D429" t="s">
        <v>14</v>
      </c>
      <c r="E429">
        <v>10831</v>
      </c>
      <c r="F429" s="2">
        <v>67118</v>
      </c>
      <c r="G429" s="1">
        <v>726955058</v>
      </c>
      <c r="H429">
        <v>3.5999999999999997E-2</v>
      </c>
      <c r="I429">
        <v>17.850000000000001</v>
      </c>
      <c r="J429" s="3">
        <v>1.92</v>
      </c>
      <c r="M429" t="str">
        <f t="shared" si="19"/>
        <v>High Growth</v>
      </c>
      <c r="N429" s="2">
        <f t="shared" si="20"/>
        <v>58905926051</v>
      </c>
      <c r="O429" s="12">
        <f t="shared" si="18"/>
        <v>43647</v>
      </c>
    </row>
    <row r="430" spans="1:15" x14ac:dyDescent="0.3">
      <c r="A430">
        <v>2019</v>
      </c>
      <c r="B430">
        <v>7</v>
      </c>
      <c r="C430" t="s">
        <v>19</v>
      </c>
      <c r="D430" t="s">
        <v>15</v>
      </c>
      <c r="E430">
        <v>6639</v>
      </c>
      <c r="F430" s="2">
        <v>93747</v>
      </c>
      <c r="G430" s="1">
        <v>622386333</v>
      </c>
      <c r="H430">
        <v>4.2000000000000003E-2</v>
      </c>
      <c r="I430">
        <v>17.850000000000001</v>
      </c>
      <c r="J430" s="3">
        <v>1.92</v>
      </c>
      <c r="M430" t="str">
        <f t="shared" si="19"/>
        <v>High Growth</v>
      </c>
      <c r="N430" s="2">
        <f t="shared" si="20"/>
        <v>58905926051</v>
      </c>
      <c r="O430" s="12">
        <f t="shared" si="18"/>
        <v>43647</v>
      </c>
    </row>
    <row r="431" spans="1:15" x14ac:dyDescent="0.3">
      <c r="A431">
        <v>2019</v>
      </c>
      <c r="B431">
        <v>7</v>
      </c>
      <c r="C431" t="s">
        <v>19</v>
      </c>
      <c r="D431" t="s">
        <v>16</v>
      </c>
      <c r="E431">
        <v>11099</v>
      </c>
      <c r="F431" s="2">
        <v>64882</v>
      </c>
      <c r="G431" s="1">
        <v>720125318</v>
      </c>
      <c r="H431">
        <v>5.1999999999999998E-2</v>
      </c>
      <c r="I431">
        <v>17.850000000000001</v>
      </c>
      <c r="J431" s="3">
        <v>1.92</v>
      </c>
      <c r="M431" t="str">
        <f t="shared" si="19"/>
        <v>High Growth</v>
      </c>
      <c r="N431" s="2">
        <f t="shared" si="20"/>
        <v>58905926051</v>
      </c>
      <c r="O431" s="12">
        <f t="shared" si="18"/>
        <v>43647</v>
      </c>
    </row>
    <row r="432" spans="1:15" x14ac:dyDescent="0.3">
      <c r="A432">
        <v>2019</v>
      </c>
      <c r="B432">
        <v>7</v>
      </c>
      <c r="C432" t="s">
        <v>19</v>
      </c>
      <c r="D432" t="s">
        <v>17</v>
      </c>
      <c r="E432">
        <v>7932</v>
      </c>
      <c r="F432" s="2">
        <v>75207</v>
      </c>
      <c r="G432" s="1">
        <v>596541924</v>
      </c>
      <c r="H432">
        <v>4.4999999999999998E-2</v>
      </c>
      <c r="I432">
        <v>17.850000000000001</v>
      </c>
      <c r="J432" s="3">
        <v>1.92</v>
      </c>
      <c r="M432" t="str">
        <f t="shared" si="19"/>
        <v>High Growth</v>
      </c>
      <c r="N432" s="2">
        <f t="shared" si="20"/>
        <v>58905926051</v>
      </c>
      <c r="O432" s="12">
        <f t="shared" si="18"/>
        <v>43647</v>
      </c>
    </row>
    <row r="433" spans="1:15" x14ac:dyDescent="0.3">
      <c r="A433">
        <v>2019</v>
      </c>
      <c r="B433">
        <v>7</v>
      </c>
      <c r="C433" t="s">
        <v>19</v>
      </c>
      <c r="D433" t="s">
        <v>18</v>
      </c>
      <c r="E433">
        <v>6343</v>
      </c>
      <c r="F433" s="2">
        <v>41311</v>
      </c>
      <c r="G433" s="1">
        <v>262035673</v>
      </c>
      <c r="H433">
        <v>3.5000000000000003E-2</v>
      </c>
      <c r="I433">
        <v>17.850000000000001</v>
      </c>
      <c r="J433" s="3">
        <v>1.92</v>
      </c>
      <c r="M433" t="str">
        <f t="shared" si="19"/>
        <v>High Growth</v>
      </c>
      <c r="N433" s="2">
        <f t="shared" si="20"/>
        <v>58905926051</v>
      </c>
      <c r="O433" s="12">
        <f t="shared" si="18"/>
        <v>43647</v>
      </c>
    </row>
    <row r="434" spans="1:15" x14ac:dyDescent="0.3">
      <c r="A434">
        <v>2019</v>
      </c>
      <c r="B434">
        <v>7</v>
      </c>
      <c r="C434" t="s">
        <v>20</v>
      </c>
      <c r="D434" t="s">
        <v>11</v>
      </c>
      <c r="E434">
        <v>11377</v>
      </c>
      <c r="F434" s="2">
        <v>46487</v>
      </c>
      <c r="G434" s="1">
        <v>528882599</v>
      </c>
      <c r="H434">
        <v>3.6999999999999998E-2</v>
      </c>
      <c r="I434">
        <v>14.31</v>
      </c>
      <c r="J434" s="3">
        <v>1.93</v>
      </c>
      <c r="M434" t="str">
        <f t="shared" si="19"/>
        <v>High Growth</v>
      </c>
      <c r="N434" s="2">
        <f t="shared" si="20"/>
        <v>54599997295</v>
      </c>
      <c r="O434" s="12">
        <f t="shared" si="18"/>
        <v>43647</v>
      </c>
    </row>
    <row r="435" spans="1:15" x14ac:dyDescent="0.3">
      <c r="A435">
        <v>2019</v>
      </c>
      <c r="B435">
        <v>7</v>
      </c>
      <c r="C435" t="s">
        <v>20</v>
      </c>
      <c r="D435" t="s">
        <v>12</v>
      </c>
      <c r="E435">
        <v>8264</v>
      </c>
      <c r="F435" s="2">
        <v>60845</v>
      </c>
      <c r="G435" s="1">
        <v>502823080</v>
      </c>
      <c r="H435">
        <v>4.7E-2</v>
      </c>
      <c r="I435">
        <v>14.31</v>
      </c>
      <c r="J435" s="3">
        <v>1.93</v>
      </c>
      <c r="M435" t="str">
        <f t="shared" si="19"/>
        <v>High Growth</v>
      </c>
      <c r="N435" s="2">
        <f t="shared" si="20"/>
        <v>54599997295</v>
      </c>
      <c r="O435" s="12">
        <f t="shared" si="18"/>
        <v>43647</v>
      </c>
    </row>
    <row r="436" spans="1:15" x14ac:dyDescent="0.3">
      <c r="A436">
        <v>2019</v>
      </c>
      <c r="B436">
        <v>7</v>
      </c>
      <c r="C436" t="s">
        <v>20</v>
      </c>
      <c r="D436" t="s">
        <v>13</v>
      </c>
      <c r="E436">
        <v>8578</v>
      </c>
      <c r="F436" s="2">
        <v>58461</v>
      </c>
      <c r="G436" s="1">
        <v>501478458</v>
      </c>
      <c r="H436">
        <v>3.4000000000000002E-2</v>
      </c>
      <c r="I436">
        <v>14.31</v>
      </c>
      <c r="J436" s="3">
        <v>1.93</v>
      </c>
      <c r="M436" t="str">
        <f t="shared" si="19"/>
        <v>High Growth</v>
      </c>
      <c r="N436" s="2">
        <f t="shared" si="20"/>
        <v>54599997295</v>
      </c>
      <c r="O436" s="12">
        <f t="shared" si="18"/>
        <v>43647</v>
      </c>
    </row>
    <row r="437" spans="1:15" x14ac:dyDescent="0.3">
      <c r="A437">
        <v>2019</v>
      </c>
      <c r="B437">
        <v>7</v>
      </c>
      <c r="C437" t="s">
        <v>20</v>
      </c>
      <c r="D437" t="s">
        <v>14</v>
      </c>
      <c r="E437">
        <v>3116</v>
      </c>
      <c r="F437" s="2">
        <v>69160</v>
      </c>
      <c r="G437" s="1">
        <v>215502560</v>
      </c>
      <c r="H437">
        <v>4.1000000000000002E-2</v>
      </c>
      <c r="I437">
        <v>14.31</v>
      </c>
      <c r="J437" s="3">
        <v>1.93</v>
      </c>
      <c r="M437" t="str">
        <f t="shared" si="19"/>
        <v>High Growth</v>
      </c>
      <c r="N437" s="2">
        <f t="shared" si="20"/>
        <v>54599997295</v>
      </c>
      <c r="O437" s="12">
        <f t="shared" si="18"/>
        <v>43647</v>
      </c>
    </row>
    <row r="438" spans="1:15" x14ac:dyDescent="0.3">
      <c r="A438">
        <v>2019</v>
      </c>
      <c r="B438">
        <v>7</v>
      </c>
      <c r="C438" t="s">
        <v>20</v>
      </c>
      <c r="D438" t="s">
        <v>15</v>
      </c>
      <c r="E438">
        <v>9326</v>
      </c>
      <c r="F438" s="2">
        <v>90779</v>
      </c>
      <c r="G438" s="1">
        <v>846604954</v>
      </c>
      <c r="H438">
        <v>5.1999999999999998E-2</v>
      </c>
      <c r="I438">
        <v>14.31</v>
      </c>
      <c r="J438" s="3">
        <v>1.93</v>
      </c>
      <c r="M438" t="str">
        <f t="shared" si="19"/>
        <v>High Growth</v>
      </c>
      <c r="N438" s="2">
        <f t="shared" si="20"/>
        <v>54599997295</v>
      </c>
      <c r="O438" s="12">
        <f t="shared" si="18"/>
        <v>43647</v>
      </c>
    </row>
    <row r="439" spans="1:15" x14ac:dyDescent="0.3">
      <c r="A439">
        <v>2019</v>
      </c>
      <c r="B439">
        <v>7</v>
      </c>
      <c r="C439" t="s">
        <v>20</v>
      </c>
      <c r="D439" t="s">
        <v>16</v>
      </c>
      <c r="E439">
        <v>3675</v>
      </c>
      <c r="F439" s="2">
        <v>65990</v>
      </c>
      <c r="G439" s="1">
        <v>242513250</v>
      </c>
      <c r="H439">
        <v>4.1000000000000002E-2</v>
      </c>
      <c r="I439">
        <v>14.31</v>
      </c>
      <c r="J439" s="3">
        <v>1.93</v>
      </c>
      <c r="M439" t="str">
        <f t="shared" si="19"/>
        <v>High Growth</v>
      </c>
      <c r="N439" s="2">
        <f t="shared" si="20"/>
        <v>54599997295</v>
      </c>
      <c r="O439" s="12">
        <f t="shared" si="18"/>
        <v>43647</v>
      </c>
    </row>
    <row r="440" spans="1:15" x14ac:dyDescent="0.3">
      <c r="A440">
        <v>2019</v>
      </c>
      <c r="B440">
        <v>7</v>
      </c>
      <c r="C440" t="s">
        <v>20</v>
      </c>
      <c r="D440" t="s">
        <v>17</v>
      </c>
      <c r="E440">
        <v>9977</v>
      </c>
      <c r="F440" s="2">
        <v>76709</v>
      </c>
      <c r="G440" s="1">
        <v>765325693</v>
      </c>
      <c r="H440">
        <v>3.3000000000000002E-2</v>
      </c>
      <c r="I440">
        <v>14.31</v>
      </c>
      <c r="J440" s="3">
        <v>1.93</v>
      </c>
      <c r="M440" t="str">
        <f t="shared" si="19"/>
        <v>High Growth</v>
      </c>
      <c r="N440" s="2">
        <f t="shared" si="20"/>
        <v>54599997295</v>
      </c>
      <c r="O440" s="12">
        <f t="shared" si="18"/>
        <v>43647</v>
      </c>
    </row>
    <row r="441" spans="1:15" x14ac:dyDescent="0.3">
      <c r="A441">
        <v>2019</v>
      </c>
      <c r="B441">
        <v>7</v>
      </c>
      <c r="C441" t="s">
        <v>20</v>
      </c>
      <c r="D441" t="s">
        <v>18</v>
      </c>
      <c r="E441">
        <v>2740</v>
      </c>
      <c r="F441" s="2">
        <v>43431</v>
      </c>
      <c r="G441" s="1">
        <v>119000940</v>
      </c>
      <c r="H441">
        <v>5.0999999999999997E-2</v>
      </c>
      <c r="I441">
        <v>14.31</v>
      </c>
      <c r="J441" s="3">
        <v>1.93</v>
      </c>
      <c r="M441" t="str">
        <f t="shared" si="19"/>
        <v>High Growth</v>
      </c>
      <c r="N441" s="2">
        <f t="shared" si="20"/>
        <v>54599997295</v>
      </c>
      <c r="O441" s="12">
        <f t="shared" si="18"/>
        <v>43647</v>
      </c>
    </row>
    <row r="442" spans="1:15" x14ac:dyDescent="0.3">
      <c r="A442">
        <v>2019</v>
      </c>
      <c r="B442">
        <v>7</v>
      </c>
      <c r="C442" t="s">
        <v>21</v>
      </c>
      <c r="D442" t="s">
        <v>11</v>
      </c>
      <c r="E442">
        <v>11046</v>
      </c>
      <c r="F442" s="2">
        <v>48907</v>
      </c>
      <c r="G442" s="1">
        <v>540226722</v>
      </c>
      <c r="H442">
        <v>3.6999999999999998E-2</v>
      </c>
      <c r="I442">
        <v>5.1100000000000003</v>
      </c>
      <c r="J442" s="3">
        <v>1.71</v>
      </c>
      <c r="M442" t="str">
        <f t="shared" si="19"/>
        <v>High Growth</v>
      </c>
      <c r="N442" s="2">
        <f t="shared" si="20"/>
        <v>55528754190</v>
      </c>
      <c r="O442" s="12">
        <f t="shared" si="18"/>
        <v>43647</v>
      </c>
    </row>
    <row r="443" spans="1:15" x14ac:dyDescent="0.3">
      <c r="A443">
        <v>2019</v>
      </c>
      <c r="B443">
        <v>7</v>
      </c>
      <c r="C443" t="s">
        <v>21</v>
      </c>
      <c r="D443" t="s">
        <v>12</v>
      </c>
      <c r="E443">
        <v>5907</v>
      </c>
      <c r="F443" s="2">
        <v>60769</v>
      </c>
      <c r="G443" s="1">
        <v>358962483</v>
      </c>
      <c r="H443">
        <v>5.3999999999999999E-2</v>
      </c>
      <c r="I443">
        <v>5.1100000000000003</v>
      </c>
      <c r="J443" s="3">
        <v>1.71</v>
      </c>
      <c r="M443" t="str">
        <f t="shared" si="19"/>
        <v>High Growth</v>
      </c>
      <c r="N443" s="2">
        <f t="shared" si="20"/>
        <v>55528754190</v>
      </c>
      <c r="O443" s="12">
        <f t="shared" si="18"/>
        <v>43647</v>
      </c>
    </row>
    <row r="444" spans="1:15" x14ac:dyDescent="0.3">
      <c r="A444">
        <v>2019</v>
      </c>
      <c r="B444">
        <v>7</v>
      </c>
      <c r="C444" t="s">
        <v>21</v>
      </c>
      <c r="D444" t="s">
        <v>13</v>
      </c>
      <c r="E444">
        <v>6906</v>
      </c>
      <c r="F444" s="2">
        <v>57067</v>
      </c>
      <c r="G444" s="1">
        <v>394104702</v>
      </c>
      <c r="H444">
        <v>3.3000000000000002E-2</v>
      </c>
      <c r="I444">
        <v>5.1100000000000003</v>
      </c>
      <c r="J444" s="3">
        <v>1.71</v>
      </c>
      <c r="M444" t="str">
        <f t="shared" si="19"/>
        <v>High Growth</v>
      </c>
      <c r="N444" s="2">
        <f t="shared" si="20"/>
        <v>55528754190</v>
      </c>
      <c r="O444" s="12">
        <f t="shared" si="18"/>
        <v>43647</v>
      </c>
    </row>
    <row r="445" spans="1:15" x14ac:dyDescent="0.3">
      <c r="A445">
        <v>2019</v>
      </c>
      <c r="B445">
        <v>7</v>
      </c>
      <c r="C445" t="s">
        <v>21</v>
      </c>
      <c r="D445" t="s">
        <v>14</v>
      </c>
      <c r="E445">
        <v>10912</v>
      </c>
      <c r="F445" s="2">
        <v>69325</v>
      </c>
      <c r="G445" s="1">
        <v>756474400</v>
      </c>
      <c r="H445">
        <v>4.4999999999999998E-2</v>
      </c>
      <c r="I445">
        <v>5.1100000000000003</v>
      </c>
      <c r="J445" s="3">
        <v>1.71</v>
      </c>
      <c r="M445" t="str">
        <f t="shared" si="19"/>
        <v>High Growth</v>
      </c>
      <c r="N445" s="2">
        <f t="shared" si="20"/>
        <v>55528754190</v>
      </c>
      <c r="O445" s="12">
        <f t="shared" si="18"/>
        <v>43647</v>
      </c>
    </row>
    <row r="446" spans="1:15" x14ac:dyDescent="0.3">
      <c r="A446">
        <v>2019</v>
      </c>
      <c r="B446">
        <v>7</v>
      </c>
      <c r="C446" t="s">
        <v>21</v>
      </c>
      <c r="D446" t="s">
        <v>15</v>
      </c>
      <c r="E446">
        <v>6119</v>
      </c>
      <c r="F446" s="2">
        <v>90514</v>
      </c>
      <c r="G446" s="1">
        <v>553855166</v>
      </c>
      <c r="H446">
        <v>5.2999999999999999E-2</v>
      </c>
      <c r="I446">
        <v>5.1100000000000003</v>
      </c>
      <c r="J446" s="3">
        <v>1.71</v>
      </c>
      <c r="M446" t="str">
        <f t="shared" si="19"/>
        <v>High Growth</v>
      </c>
      <c r="N446" s="2">
        <f t="shared" si="20"/>
        <v>55528754190</v>
      </c>
      <c r="O446" s="12">
        <f t="shared" si="18"/>
        <v>43647</v>
      </c>
    </row>
    <row r="447" spans="1:15" x14ac:dyDescent="0.3">
      <c r="A447">
        <v>2019</v>
      </c>
      <c r="B447">
        <v>7</v>
      </c>
      <c r="C447" t="s">
        <v>21</v>
      </c>
      <c r="D447" t="s">
        <v>16</v>
      </c>
      <c r="E447">
        <v>11149</v>
      </c>
      <c r="F447" s="2">
        <v>64653</v>
      </c>
      <c r="G447" s="1">
        <v>720816297</v>
      </c>
      <c r="H447">
        <v>5.3999999999999999E-2</v>
      </c>
      <c r="I447">
        <v>5.1100000000000003</v>
      </c>
      <c r="J447" s="3">
        <v>1.71</v>
      </c>
      <c r="M447" t="str">
        <f t="shared" si="19"/>
        <v>High Growth</v>
      </c>
      <c r="N447" s="2">
        <f t="shared" si="20"/>
        <v>55528754190</v>
      </c>
      <c r="O447" s="12">
        <f t="shared" si="18"/>
        <v>43647</v>
      </c>
    </row>
    <row r="448" spans="1:15" x14ac:dyDescent="0.3">
      <c r="A448">
        <v>2019</v>
      </c>
      <c r="B448">
        <v>7</v>
      </c>
      <c r="C448" t="s">
        <v>21</v>
      </c>
      <c r="D448" t="s">
        <v>17</v>
      </c>
      <c r="E448">
        <v>4467</v>
      </c>
      <c r="F448" s="2">
        <v>76300</v>
      </c>
      <c r="G448" s="1">
        <v>340832100</v>
      </c>
      <c r="H448">
        <v>5.5E-2</v>
      </c>
      <c r="I448">
        <v>5.1100000000000003</v>
      </c>
      <c r="J448" s="3">
        <v>1.71</v>
      </c>
      <c r="M448" t="str">
        <f t="shared" si="19"/>
        <v>High Growth</v>
      </c>
      <c r="N448" s="2">
        <f t="shared" si="20"/>
        <v>55528754190</v>
      </c>
      <c r="O448" s="12">
        <f t="shared" si="18"/>
        <v>43647</v>
      </c>
    </row>
    <row r="449" spans="1:15" x14ac:dyDescent="0.3">
      <c r="A449">
        <v>2019</v>
      </c>
      <c r="B449">
        <v>7</v>
      </c>
      <c r="C449" t="s">
        <v>21</v>
      </c>
      <c r="D449" t="s">
        <v>18</v>
      </c>
      <c r="E449">
        <v>8590</v>
      </c>
      <c r="F449" s="2">
        <v>40361</v>
      </c>
      <c r="G449" s="1">
        <v>346700990</v>
      </c>
      <c r="H449">
        <v>4.7E-2</v>
      </c>
      <c r="I449">
        <v>5.1100000000000003</v>
      </c>
      <c r="J449" s="3">
        <v>1.71</v>
      </c>
      <c r="M449" t="str">
        <f t="shared" si="19"/>
        <v>High Growth</v>
      </c>
      <c r="N449" s="2">
        <f t="shared" si="20"/>
        <v>55528754190</v>
      </c>
      <c r="O449" s="12">
        <f t="shared" si="18"/>
        <v>43647</v>
      </c>
    </row>
    <row r="450" spans="1:15" x14ac:dyDescent="0.3">
      <c r="A450">
        <v>2019</v>
      </c>
      <c r="B450">
        <v>8</v>
      </c>
      <c r="C450" t="s">
        <v>10</v>
      </c>
      <c r="D450" t="s">
        <v>11</v>
      </c>
      <c r="E450">
        <v>2949</v>
      </c>
      <c r="F450" s="2">
        <v>49562</v>
      </c>
      <c r="G450" s="1">
        <v>146158338</v>
      </c>
      <c r="H450">
        <v>5.8000000000000003E-2</v>
      </c>
      <c r="I450">
        <v>19.190000000000001</v>
      </c>
      <c r="J450" s="3">
        <v>4.33</v>
      </c>
      <c r="M450" t="str">
        <f t="shared" si="19"/>
        <v>High Growth</v>
      </c>
      <c r="N450" s="2">
        <f t="shared" si="20"/>
        <v>56325491359</v>
      </c>
      <c r="O450" s="12">
        <f t="shared" ref="O450:O500" si="21">DATE(A450,B450,1)</f>
        <v>43678</v>
      </c>
    </row>
    <row r="451" spans="1:15" x14ac:dyDescent="0.3">
      <c r="A451">
        <v>2019</v>
      </c>
      <c r="B451">
        <v>8</v>
      </c>
      <c r="C451" t="s">
        <v>10</v>
      </c>
      <c r="D451" t="s">
        <v>12</v>
      </c>
      <c r="E451">
        <v>4912</v>
      </c>
      <c r="F451" s="2">
        <v>63081</v>
      </c>
      <c r="G451" s="1">
        <v>309853872</v>
      </c>
      <c r="H451">
        <v>4.1000000000000002E-2</v>
      </c>
      <c r="I451">
        <v>19.190000000000001</v>
      </c>
      <c r="J451" s="3">
        <v>4.33</v>
      </c>
      <c r="M451" t="str">
        <f t="shared" ref="M451:M500" si="22">IF(H451&gt;0.03,"High Growth","Low Growth")</f>
        <v>High Growth</v>
      </c>
      <c r="N451" s="2">
        <f t="shared" ref="N451:N500" si="23">SUMIF(C:C, C451, G:G)</f>
        <v>56325491359</v>
      </c>
      <c r="O451" s="12">
        <f t="shared" si="21"/>
        <v>43678</v>
      </c>
    </row>
    <row r="452" spans="1:15" x14ac:dyDescent="0.3">
      <c r="A452">
        <v>2019</v>
      </c>
      <c r="B452">
        <v>8</v>
      </c>
      <c r="C452" t="s">
        <v>10</v>
      </c>
      <c r="D452" t="s">
        <v>13</v>
      </c>
      <c r="E452">
        <v>3843</v>
      </c>
      <c r="F452" s="2">
        <v>56922</v>
      </c>
      <c r="G452" s="1">
        <v>218751246</v>
      </c>
      <c r="H452">
        <v>5.1999999999999998E-2</v>
      </c>
      <c r="I452">
        <v>19.190000000000001</v>
      </c>
      <c r="J452" s="3">
        <v>4.33</v>
      </c>
      <c r="M452" t="str">
        <f t="shared" si="22"/>
        <v>High Growth</v>
      </c>
      <c r="N452" s="2">
        <f t="shared" si="23"/>
        <v>56325491359</v>
      </c>
      <c r="O452" s="12">
        <f t="shared" si="21"/>
        <v>43678</v>
      </c>
    </row>
    <row r="453" spans="1:15" x14ac:dyDescent="0.3">
      <c r="A453">
        <v>2019</v>
      </c>
      <c r="B453">
        <v>8</v>
      </c>
      <c r="C453" t="s">
        <v>10</v>
      </c>
      <c r="D453" t="s">
        <v>14</v>
      </c>
      <c r="E453">
        <v>4558</v>
      </c>
      <c r="F453" s="2">
        <v>68036</v>
      </c>
      <c r="G453" s="1">
        <v>310108088</v>
      </c>
      <c r="H453">
        <v>5.8999999999999997E-2</v>
      </c>
      <c r="I453">
        <v>19.190000000000001</v>
      </c>
      <c r="J453" s="3">
        <v>4.33</v>
      </c>
      <c r="M453" t="str">
        <f t="shared" si="22"/>
        <v>High Growth</v>
      </c>
      <c r="N453" s="2">
        <f t="shared" si="23"/>
        <v>56325491359</v>
      </c>
      <c r="O453" s="12">
        <f t="shared" si="21"/>
        <v>43678</v>
      </c>
    </row>
    <row r="454" spans="1:15" x14ac:dyDescent="0.3">
      <c r="A454">
        <v>2019</v>
      </c>
      <c r="B454">
        <v>8</v>
      </c>
      <c r="C454" t="s">
        <v>10</v>
      </c>
      <c r="D454" t="s">
        <v>15</v>
      </c>
      <c r="E454">
        <v>4938</v>
      </c>
      <c r="F454" s="2">
        <v>90313</v>
      </c>
      <c r="G454" s="1">
        <v>445965594</v>
      </c>
      <c r="H454">
        <v>5.7000000000000002E-2</v>
      </c>
      <c r="I454">
        <v>19.190000000000001</v>
      </c>
      <c r="J454" s="3">
        <v>4.33</v>
      </c>
      <c r="M454" t="str">
        <f t="shared" si="22"/>
        <v>High Growth</v>
      </c>
      <c r="N454" s="2">
        <f t="shared" si="23"/>
        <v>56325491359</v>
      </c>
      <c r="O454" s="12">
        <f t="shared" si="21"/>
        <v>43678</v>
      </c>
    </row>
    <row r="455" spans="1:15" x14ac:dyDescent="0.3">
      <c r="A455">
        <v>2019</v>
      </c>
      <c r="B455">
        <v>8</v>
      </c>
      <c r="C455" t="s">
        <v>10</v>
      </c>
      <c r="D455" t="s">
        <v>16</v>
      </c>
      <c r="E455">
        <v>5462</v>
      </c>
      <c r="F455" s="2">
        <v>65256</v>
      </c>
      <c r="G455" s="1">
        <v>356428272</v>
      </c>
      <c r="H455">
        <v>4.5999999999999999E-2</v>
      </c>
      <c r="I455">
        <v>19.190000000000001</v>
      </c>
      <c r="J455" s="3">
        <v>4.33</v>
      </c>
      <c r="M455" t="str">
        <f t="shared" si="22"/>
        <v>High Growth</v>
      </c>
      <c r="N455" s="2">
        <f t="shared" si="23"/>
        <v>56325491359</v>
      </c>
      <c r="O455" s="12">
        <f t="shared" si="21"/>
        <v>43678</v>
      </c>
    </row>
    <row r="456" spans="1:15" x14ac:dyDescent="0.3">
      <c r="A456">
        <v>2019</v>
      </c>
      <c r="B456">
        <v>8</v>
      </c>
      <c r="C456" t="s">
        <v>10</v>
      </c>
      <c r="D456" t="s">
        <v>17</v>
      </c>
      <c r="E456">
        <v>3460</v>
      </c>
      <c r="F456" s="2">
        <v>76091</v>
      </c>
      <c r="G456" s="1">
        <v>263274860</v>
      </c>
      <c r="H456">
        <v>5.2999999999999999E-2</v>
      </c>
      <c r="I456">
        <v>19.190000000000001</v>
      </c>
      <c r="J456" s="3">
        <v>4.33</v>
      </c>
      <c r="M456" t="str">
        <f t="shared" si="22"/>
        <v>High Growth</v>
      </c>
      <c r="N456" s="2">
        <f t="shared" si="23"/>
        <v>56325491359</v>
      </c>
      <c r="O456" s="12">
        <f t="shared" si="21"/>
        <v>43678</v>
      </c>
    </row>
    <row r="457" spans="1:15" x14ac:dyDescent="0.3">
      <c r="A457">
        <v>2019</v>
      </c>
      <c r="B457">
        <v>8</v>
      </c>
      <c r="C457" t="s">
        <v>10</v>
      </c>
      <c r="D457" t="s">
        <v>18</v>
      </c>
      <c r="E457">
        <v>5023</v>
      </c>
      <c r="F457" s="2">
        <v>43983</v>
      </c>
      <c r="G457" s="1">
        <v>220926609</v>
      </c>
      <c r="H457">
        <v>5.2999999999999999E-2</v>
      </c>
      <c r="I457">
        <v>19.190000000000001</v>
      </c>
      <c r="J457" s="3">
        <v>4.33</v>
      </c>
      <c r="M457" t="str">
        <f t="shared" si="22"/>
        <v>High Growth</v>
      </c>
      <c r="N457" s="2">
        <f t="shared" si="23"/>
        <v>56325491359</v>
      </c>
      <c r="O457" s="12">
        <f t="shared" si="21"/>
        <v>43678</v>
      </c>
    </row>
    <row r="458" spans="1:15" x14ac:dyDescent="0.3">
      <c r="A458">
        <v>2019</v>
      </c>
      <c r="B458">
        <v>8</v>
      </c>
      <c r="C458" t="s">
        <v>19</v>
      </c>
      <c r="D458" t="s">
        <v>11</v>
      </c>
      <c r="E458">
        <v>3546</v>
      </c>
      <c r="F458" s="2">
        <v>47155</v>
      </c>
      <c r="G458" s="1">
        <v>167211630</v>
      </c>
      <c r="H458">
        <v>4.2000000000000003E-2</v>
      </c>
      <c r="I458">
        <v>20.14</v>
      </c>
      <c r="J458" s="3">
        <v>2.5499999999999998</v>
      </c>
      <c r="M458" t="str">
        <f t="shared" si="22"/>
        <v>High Growth</v>
      </c>
      <c r="N458" s="2">
        <f t="shared" si="23"/>
        <v>58905926051</v>
      </c>
      <c r="O458" s="12">
        <f t="shared" si="21"/>
        <v>43678</v>
      </c>
    </row>
    <row r="459" spans="1:15" x14ac:dyDescent="0.3">
      <c r="A459">
        <v>2019</v>
      </c>
      <c r="B459">
        <v>8</v>
      </c>
      <c r="C459" t="s">
        <v>19</v>
      </c>
      <c r="D459" t="s">
        <v>12</v>
      </c>
      <c r="E459">
        <v>11482</v>
      </c>
      <c r="F459" s="2">
        <v>61929</v>
      </c>
      <c r="G459" s="1">
        <v>711068778</v>
      </c>
      <c r="H459">
        <v>3.5999999999999997E-2</v>
      </c>
      <c r="I459">
        <v>20.14</v>
      </c>
      <c r="J459" s="3">
        <v>2.5499999999999998</v>
      </c>
      <c r="M459" t="str">
        <f t="shared" si="22"/>
        <v>High Growth</v>
      </c>
      <c r="N459" s="2">
        <f t="shared" si="23"/>
        <v>58905926051</v>
      </c>
      <c r="O459" s="12">
        <f t="shared" si="21"/>
        <v>43678</v>
      </c>
    </row>
    <row r="460" spans="1:15" x14ac:dyDescent="0.3">
      <c r="A460">
        <v>2019</v>
      </c>
      <c r="B460">
        <v>8</v>
      </c>
      <c r="C460" t="s">
        <v>19</v>
      </c>
      <c r="D460" t="s">
        <v>13</v>
      </c>
      <c r="E460">
        <v>3437</v>
      </c>
      <c r="F460" s="2">
        <v>57492</v>
      </c>
      <c r="G460" s="1">
        <v>197600004</v>
      </c>
      <c r="H460">
        <v>2.8000000000000001E-2</v>
      </c>
      <c r="I460">
        <v>20.14</v>
      </c>
      <c r="J460" s="3">
        <v>2.5499999999999998</v>
      </c>
      <c r="M460" t="str">
        <f t="shared" si="22"/>
        <v>Low Growth</v>
      </c>
      <c r="N460" s="2">
        <f t="shared" si="23"/>
        <v>58905926051</v>
      </c>
      <c r="O460" s="12">
        <f t="shared" si="21"/>
        <v>43678</v>
      </c>
    </row>
    <row r="461" spans="1:15" x14ac:dyDescent="0.3">
      <c r="A461">
        <v>2019</v>
      </c>
      <c r="B461">
        <v>8</v>
      </c>
      <c r="C461" t="s">
        <v>19</v>
      </c>
      <c r="D461" t="s">
        <v>14</v>
      </c>
      <c r="E461">
        <v>4425</v>
      </c>
      <c r="F461" s="2">
        <v>67870</v>
      </c>
      <c r="G461" s="1">
        <v>300324750</v>
      </c>
      <c r="H461">
        <v>0.06</v>
      </c>
      <c r="I461">
        <v>20.14</v>
      </c>
      <c r="J461" s="3">
        <v>2.5499999999999998</v>
      </c>
      <c r="M461" t="str">
        <f t="shared" si="22"/>
        <v>High Growth</v>
      </c>
      <c r="N461" s="2">
        <f t="shared" si="23"/>
        <v>58905926051</v>
      </c>
      <c r="O461" s="12">
        <f t="shared" si="21"/>
        <v>43678</v>
      </c>
    </row>
    <row r="462" spans="1:15" x14ac:dyDescent="0.3">
      <c r="A462">
        <v>2019</v>
      </c>
      <c r="B462">
        <v>8</v>
      </c>
      <c r="C462" t="s">
        <v>19</v>
      </c>
      <c r="D462" t="s">
        <v>15</v>
      </c>
      <c r="E462">
        <v>8210</v>
      </c>
      <c r="F462" s="2">
        <v>92320</v>
      </c>
      <c r="G462" s="1">
        <v>757947200</v>
      </c>
      <c r="H462">
        <v>4.1000000000000002E-2</v>
      </c>
      <c r="I462">
        <v>20.14</v>
      </c>
      <c r="J462" s="3">
        <v>2.5499999999999998</v>
      </c>
      <c r="M462" t="str">
        <f t="shared" si="22"/>
        <v>High Growth</v>
      </c>
      <c r="N462" s="2">
        <f t="shared" si="23"/>
        <v>58905926051</v>
      </c>
      <c r="O462" s="12">
        <f t="shared" si="21"/>
        <v>43678</v>
      </c>
    </row>
    <row r="463" spans="1:15" x14ac:dyDescent="0.3">
      <c r="A463">
        <v>2019</v>
      </c>
      <c r="B463">
        <v>8</v>
      </c>
      <c r="C463" t="s">
        <v>19</v>
      </c>
      <c r="D463" t="s">
        <v>16</v>
      </c>
      <c r="E463">
        <v>4954</v>
      </c>
      <c r="F463" s="2">
        <v>66292</v>
      </c>
      <c r="G463" s="1">
        <v>328410568</v>
      </c>
      <c r="H463">
        <v>3.3000000000000002E-2</v>
      </c>
      <c r="I463">
        <v>20.14</v>
      </c>
      <c r="J463" s="3">
        <v>2.5499999999999998</v>
      </c>
      <c r="M463" t="str">
        <f t="shared" si="22"/>
        <v>High Growth</v>
      </c>
      <c r="N463" s="2">
        <f t="shared" si="23"/>
        <v>58905926051</v>
      </c>
      <c r="O463" s="12">
        <f t="shared" si="21"/>
        <v>43678</v>
      </c>
    </row>
    <row r="464" spans="1:15" x14ac:dyDescent="0.3">
      <c r="A464">
        <v>2019</v>
      </c>
      <c r="B464">
        <v>8</v>
      </c>
      <c r="C464" t="s">
        <v>19</v>
      </c>
      <c r="D464" t="s">
        <v>17</v>
      </c>
      <c r="E464">
        <v>5955</v>
      </c>
      <c r="F464" s="2">
        <v>74078</v>
      </c>
      <c r="G464" s="1">
        <v>441134490</v>
      </c>
      <c r="H464">
        <v>4.5999999999999999E-2</v>
      </c>
      <c r="I464">
        <v>20.14</v>
      </c>
      <c r="J464" s="3">
        <v>2.5499999999999998</v>
      </c>
      <c r="M464" t="str">
        <f t="shared" si="22"/>
        <v>High Growth</v>
      </c>
      <c r="N464" s="2">
        <f t="shared" si="23"/>
        <v>58905926051</v>
      </c>
      <c r="O464" s="12">
        <f t="shared" si="21"/>
        <v>43678</v>
      </c>
    </row>
    <row r="465" spans="1:15" x14ac:dyDescent="0.3">
      <c r="A465">
        <v>2019</v>
      </c>
      <c r="B465">
        <v>8</v>
      </c>
      <c r="C465" t="s">
        <v>19</v>
      </c>
      <c r="D465" t="s">
        <v>18</v>
      </c>
      <c r="E465">
        <v>8946</v>
      </c>
      <c r="F465" s="2">
        <v>42947</v>
      </c>
      <c r="G465" s="1">
        <v>384203862</v>
      </c>
      <c r="H465">
        <v>3.7999999999999999E-2</v>
      </c>
      <c r="I465">
        <v>20.14</v>
      </c>
      <c r="J465" s="3">
        <v>2.5499999999999998</v>
      </c>
      <c r="M465" t="str">
        <f t="shared" si="22"/>
        <v>High Growth</v>
      </c>
      <c r="N465" s="2">
        <f t="shared" si="23"/>
        <v>58905926051</v>
      </c>
      <c r="O465" s="12">
        <f t="shared" si="21"/>
        <v>43678</v>
      </c>
    </row>
    <row r="466" spans="1:15" x14ac:dyDescent="0.3">
      <c r="A466">
        <v>2019</v>
      </c>
      <c r="B466">
        <v>8</v>
      </c>
      <c r="C466" t="s">
        <v>20</v>
      </c>
      <c r="D466" t="s">
        <v>11</v>
      </c>
      <c r="E466">
        <v>5763</v>
      </c>
      <c r="F466" s="2">
        <v>46997</v>
      </c>
      <c r="G466" s="1">
        <v>270843711</v>
      </c>
      <c r="H466">
        <v>5.6000000000000001E-2</v>
      </c>
      <c r="I466">
        <v>18.2</v>
      </c>
      <c r="J466" s="3">
        <v>2.98</v>
      </c>
      <c r="M466" t="str">
        <f t="shared" si="22"/>
        <v>High Growth</v>
      </c>
      <c r="N466" s="2">
        <f t="shared" si="23"/>
        <v>54599997295</v>
      </c>
      <c r="O466" s="12">
        <f t="shared" si="21"/>
        <v>43678</v>
      </c>
    </row>
    <row r="467" spans="1:15" x14ac:dyDescent="0.3">
      <c r="A467">
        <v>2019</v>
      </c>
      <c r="B467">
        <v>8</v>
      </c>
      <c r="C467" t="s">
        <v>20</v>
      </c>
      <c r="D467" t="s">
        <v>12</v>
      </c>
      <c r="E467">
        <v>3294</v>
      </c>
      <c r="F467" s="2">
        <v>63775</v>
      </c>
      <c r="G467" s="1">
        <v>210074850</v>
      </c>
      <c r="H467">
        <v>3.9E-2</v>
      </c>
      <c r="I467">
        <v>18.2</v>
      </c>
      <c r="J467" s="3">
        <v>2.98</v>
      </c>
      <c r="M467" t="str">
        <f t="shared" si="22"/>
        <v>High Growth</v>
      </c>
      <c r="N467" s="2">
        <f t="shared" si="23"/>
        <v>54599997295</v>
      </c>
      <c r="O467" s="12">
        <f t="shared" si="21"/>
        <v>43678</v>
      </c>
    </row>
    <row r="468" spans="1:15" x14ac:dyDescent="0.3">
      <c r="A468">
        <v>2019</v>
      </c>
      <c r="B468">
        <v>8</v>
      </c>
      <c r="C468" t="s">
        <v>20</v>
      </c>
      <c r="D468" t="s">
        <v>13</v>
      </c>
      <c r="E468">
        <v>10883</v>
      </c>
      <c r="F468" s="2">
        <v>58160</v>
      </c>
      <c r="G468" s="1">
        <v>632955280</v>
      </c>
      <c r="H468">
        <v>3.5999999999999997E-2</v>
      </c>
      <c r="I468">
        <v>18.2</v>
      </c>
      <c r="J468" s="3">
        <v>2.98</v>
      </c>
      <c r="M468" t="str">
        <f t="shared" si="22"/>
        <v>High Growth</v>
      </c>
      <c r="N468" s="2">
        <f t="shared" si="23"/>
        <v>54599997295</v>
      </c>
      <c r="O468" s="12">
        <f t="shared" si="21"/>
        <v>43678</v>
      </c>
    </row>
    <row r="469" spans="1:15" x14ac:dyDescent="0.3">
      <c r="A469">
        <v>2019</v>
      </c>
      <c r="B469">
        <v>8</v>
      </c>
      <c r="C469" t="s">
        <v>20</v>
      </c>
      <c r="D469" t="s">
        <v>14</v>
      </c>
      <c r="E469">
        <v>11642</v>
      </c>
      <c r="F469" s="2">
        <v>69528</v>
      </c>
      <c r="G469" s="1">
        <v>809444976</v>
      </c>
      <c r="H469">
        <v>4.2000000000000003E-2</v>
      </c>
      <c r="I469">
        <v>18.2</v>
      </c>
      <c r="J469" s="3">
        <v>2.98</v>
      </c>
      <c r="M469" t="str">
        <f t="shared" si="22"/>
        <v>High Growth</v>
      </c>
      <c r="N469" s="2">
        <f t="shared" si="23"/>
        <v>54599997295</v>
      </c>
      <c r="O469" s="12">
        <f t="shared" si="21"/>
        <v>43678</v>
      </c>
    </row>
    <row r="470" spans="1:15" x14ac:dyDescent="0.3">
      <c r="A470">
        <v>2019</v>
      </c>
      <c r="B470">
        <v>8</v>
      </c>
      <c r="C470" t="s">
        <v>20</v>
      </c>
      <c r="D470" t="s">
        <v>15</v>
      </c>
      <c r="E470">
        <v>3590</v>
      </c>
      <c r="F470" s="2">
        <v>90475</v>
      </c>
      <c r="G470" s="1">
        <v>324805250</v>
      </c>
      <c r="H470">
        <v>3.9E-2</v>
      </c>
      <c r="I470">
        <v>18.2</v>
      </c>
      <c r="J470" s="3">
        <v>2.98</v>
      </c>
      <c r="M470" t="str">
        <f t="shared" si="22"/>
        <v>High Growth</v>
      </c>
      <c r="N470" s="2">
        <f t="shared" si="23"/>
        <v>54599997295</v>
      </c>
      <c r="O470" s="12">
        <f t="shared" si="21"/>
        <v>43678</v>
      </c>
    </row>
    <row r="471" spans="1:15" x14ac:dyDescent="0.3">
      <c r="A471">
        <v>2019</v>
      </c>
      <c r="B471">
        <v>8</v>
      </c>
      <c r="C471" t="s">
        <v>20</v>
      </c>
      <c r="D471" t="s">
        <v>16</v>
      </c>
      <c r="E471">
        <v>3443</v>
      </c>
      <c r="F471" s="2">
        <v>64141</v>
      </c>
      <c r="G471" s="1">
        <v>220837463</v>
      </c>
      <c r="H471">
        <v>4.2999999999999997E-2</v>
      </c>
      <c r="I471">
        <v>18.2</v>
      </c>
      <c r="J471" s="3">
        <v>2.98</v>
      </c>
      <c r="M471" t="str">
        <f t="shared" si="22"/>
        <v>High Growth</v>
      </c>
      <c r="N471" s="2">
        <f t="shared" si="23"/>
        <v>54599997295</v>
      </c>
      <c r="O471" s="12">
        <f t="shared" si="21"/>
        <v>43678</v>
      </c>
    </row>
    <row r="472" spans="1:15" x14ac:dyDescent="0.3">
      <c r="A472">
        <v>2019</v>
      </c>
      <c r="B472">
        <v>8</v>
      </c>
      <c r="C472" t="s">
        <v>20</v>
      </c>
      <c r="D472" t="s">
        <v>17</v>
      </c>
      <c r="E472">
        <v>3701</v>
      </c>
      <c r="F472" s="2">
        <v>73398</v>
      </c>
      <c r="G472" s="1">
        <v>271645998</v>
      </c>
      <c r="H472">
        <v>3.2000000000000001E-2</v>
      </c>
      <c r="I472">
        <v>18.2</v>
      </c>
      <c r="J472" s="3">
        <v>2.98</v>
      </c>
      <c r="M472" t="str">
        <f t="shared" si="22"/>
        <v>High Growth</v>
      </c>
      <c r="N472" s="2">
        <f t="shared" si="23"/>
        <v>54599997295</v>
      </c>
      <c r="O472" s="12">
        <f t="shared" si="21"/>
        <v>43678</v>
      </c>
    </row>
    <row r="473" spans="1:15" x14ac:dyDescent="0.3">
      <c r="A473">
        <v>2019</v>
      </c>
      <c r="B473">
        <v>8</v>
      </c>
      <c r="C473" t="s">
        <v>20</v>
      </c>
      <c r="D473" t="s">
        <v>18</v>
      </c>
      <c r="E473">
        <v>4141</v>
      </c>
      <c r="F473" s="2">
        <v>41582</v>
      </c>
      <c r="G473" s="1">
        <v>172191062</v>
      </c>
      <c r="H473">
        <v>4.4999999999999998E-2</v>
      </c>
      <c r="I473">
        <v>18.2</v>
      </c>
      <c r="J473" s="3">
        <v>2.98</v>
      </c>
      <c r="M473" t="str">
        <f t="shared" si="22"/>
        <v>High Growth</v>
      </c>
      <c r="N473" s="2">
        <f t="shared" si="23"/>
        <v>54599997295</v>
      </c>
      <c r="O473" s="12">
        <f t="shared" si="21"/>
        <v>43678</v>
      </c>
    </row>
    <row r="474" spans="1:15" x14ac:dyDescent="0.3">
      <c r="A474">
        <v>2019</v>
      </c>
      <c r="B474">
        <v>8</v>
      </c>
      <c r="C474" t="s">
        <v>21</v>
      </c>
      <c r="D474" t="s">
        <v>11</v>
      </c>
      <c r="E474">
        <v>5842</v>
      </c>
      <c r="F474" s="2">
        <v>46137</v>
      </c>
      <c r="G474" s="1">
        <v>269532354</v>
      </c>
      <c r="H474">
        <v>4.8000000000000001E-2</v>
      </c>
      <c r="I474">
        <v>6.14</v>
      </c>
      <c r="J474" s="3">
        <v>2.63</v>
      </c>
      <c r="M474" t="str">
        <f t="shared" si="22"/>
        <v>High Growth</v>
      </c>
      <c r="N474" s="2">
        <f t="shared" si="23"/>
        <v>55528754190</v>
      </c>
      <c r="O474" s="12">
        <f t="shared" si="21"/>
        <v>43678</v>
      </c>
    </row>
    <row r="475" spans="1:15" x14ac:dyDescent="0.3">
      <c r="A475">
        <v>2019</v>
      </c>
      <c r="B475">
        <v>8</v>
      </c>
      <c r="C475" t="s">
        <v>21</v>
      </c>
      <c r="D475" t="s">
        <v>12</v>
      </c>
      <c r="E475">
        <v>4498</v>
      </c>
      <c r="F475" s="2">
        <v>61794</v>
      </c>
      <c r="G475" s="1">
        <v>277949412</v>
      </c>
      <c r="H475">
        <v>3.1E-2</v>
      </c>
      <c r="I475">
        <v>6.14</v>
      </c>
      <c r="J475" s="3">
        <v>2.63</v>
      </c>
      <c r="M475" t="str">
        <f t="shared" si="22"/>
        <v>High Growth</v>
      </c>
      <c r="N475" s="2">
        <f t="shared" si="23"/>
        <v>55528754190</v>
      </c>
      <c r="O475" s="12">
        <f t="shared" si="21"/>
        <v>43678</v>
      </c>
    </row>
    <row r="476" spans="1:15" x14ac:dyDescent="0.3">
      <c r="A476">
        <v>2019</v>
      </c>
      <c r="B476">
        <v>8</v>
      </c>
      <c r="C476" t="s">
        <v>21</v>
      </c>
      <c r="D476" t="s">
        <v>13</v>
      </c>
      <c r="E476">
        <v>7405</v>
      </c>
      <c r="F476" s="2">
        <v>59701</v>
      </c>
      <c r="G476" s="1">
        <v>442085905</v>
      </c>
      <c r="H476">
        <v>5.1999999999999998E-2</v>
      </c>
      <c r="I476">
        <v>6.14</v>
      </c>
      <c r="J476" s="3">
        <v>2.63</v>
      </c>
      <c r="M476" t="str">
        <f t="shared" si="22"/>
        <v>High Growth</v>
      </c>
      <c r="N476" s="2">
        <f t="shared" si="23"/>
        <v>55528754190</v>
      </c>
      <c r="O476" s="12">
        <f t="shared" si="21"/>
        <v>43678</v>
      </c>
    </row>
    <row r="477" spans="1:15" x14ac:dyDescent="0.3">
      <c r="A477">
        <v>2019</v>
      </c>
      <c r="B477">
        <v>8</v>
      </c>
      <c r="C477" t="s">
        <v>21</v>
      </c>
      <c r="D477" t="s">
        <v>14</v>
      </c>
      <c r="E477">
        <v>5143</v>
      </c>
      <c r="F477" s="2">
        <v>70920</v>
      </c>
      <c r="G477" s="1">
        <v>364741560</v>
      </c>
      <c r="H477">
        <v>6.2E-2</v>
      </c>
      <c r="I477">
        <v>6.14</v>
      </c>
      <c r="J477" s="3">
        <v>2.63</v>
      </c>
      <c r="M477" t="str">
        <f t="shared" si="22"/>
        <v>High Growth</v>
      </c>
      <c r="N477" s="2">
        <f t="shared" si="23"/>
        <v>55528754190</v>
      </c>
      <c r="O477" s="12">
        <f t="shared" si="21"/>
        <v>43678</v>
      </c>
    </row>
    <row r="478" spans="1:15" x14ac:dyDescent="0.3">
      <c r="A478">
        <v>2019</v>
      </c>
      <c r="B478">
        <v>8</v>
      </c>
      <c r="C478" t="s">
        <v>21</v>
      </c>
      <c r="D478" t="s">
        <v>15</v>
      </c>
      <c r="E478">
        <v>10456</v>
      </c>
      <c r="F478" s="2">
        <v>91449</v>
      </c>
      <c r="G478" s="1">
        <v>956190744</v>
      </c>
      <c r="H478">
        <v>4.8000000000000001E-2</v>
      </c>
      <c r="I478">
        <v>6.14</v>
      </c>
      <c r="J478" s="3">
        <v>2.63</v>
      </c>
      <c r="M478" t="str">
        <f t="shared" si="22"/>
        <v>High Growth</v>
      </c>
      <c r="N478" s="2">
        <f t="shared" si="23"/>
        <v>55528754190</v>
      </c>
      <c r="O478" s="12">
        <f t="shared" si="21"/>
        <v>43678</v>
      </c>
    </row>
    <row r="479" spans="1:15" x14ac:dyDescent="0.3">
      <c r="A479">
        <v>2019</v>
      </c>
      <c r="B479">
        <v>8</v>
      </c>
      <c r="C479" t="s">
        <v>21</v>
      </c>
      <c r="D479" t="s">
        <v>16</v>
      </c>
      <c r="E479">
        <v>10996</v>
      </c>
      <c r="F479" s="2">
        <v>66373</v>
      </c>
      <c r="G479" s="1">
        <v>729837508</v>
      </c>
      <c r="H479">
        <v>4.3999999999999997E-2</v>
      </c>
      <c r="I479">
        <v>6.14</v>
      </c>
      <c r="J479" s="3">
        <v>2.63</v>
      </c>
      <c r="M479" t="str">
        <f t="shared" si="22"/>
        <v>High Growth</v>
      </c>
      <c r="N479" s="2">
        <f t="shared" si="23"/>
        <v>55528754190</v>
      </c>
      <c r="O479" s="12">
        <f t="shared" si="21"/>
        <v>43678</v>
      </c>
    </row>
    <row r="480" spans="1:15" x14ac:dyDescent="0.3">
      <c r="A480">
        <v>2019</v>
      </c>
      <c r="B480">
        <v>8</v>
      </c>
      <c r="C480" t="s">
        <v>21</v>
      </c>
      <c r="D480" t="s">
        <v>17</v>
      </c>
      <c r="E480">
        <v>7355</v>
      </c>
      <c r="F480" s="2">
        <v>76145</v>
      </c>
      <c r="G480" s="1">
        <v>560046475</v>
      </c>
      <c r="H480">
        <v>0.05</v>
      </c>
      <c r="I480">
        <v>6.14</v>
      </c>
      <c r="J480" s="3">
        <v>2.63</v>
      </c>
      <c r="M480" t="str">
        <f t="shared" si="22"/>
        <v>High Growth</v>
      </c>
      <c r="N480" s="2">
        <f t="shared" si="23"/>
        <v>55528754190</v>
      </c>
      <c r="O480" s="12">
        <f t="shared" si="21"/>
        <v>43678</v>
      </c>
    </row>
    <row r="481" spans="1:15" x14ac:dyDescent="0.3">
      <c r="A481">
        <v>2019</v>
      </c>
      <c r="B481">
        <v>8</v>
      </c>
      <c r="C481" t="s">
        <v>21</v>
      </c>
      <c r="D481" t="s">
        <v>18</v>
      </c>
      <c r="E481">
        <v>11150</v>
      </c>
      <c r="F481" s="2">
        <v>42308</v>
      </c>
      <c r="G481" s="1">
        <v>471734200</v>
      </c>
      <c r="H481">
        <v>0.04</v>
      </c>
      <c r="I481">
        <v>6.14</v>
      </c>
      <c r="J481" s="3">
        <v>2.63</v>
      </c>
      <c r="M481" t="str">
        <f t="shared" si="22"/>
        <v>High Growth</v>
      </c>
      <c r="N481" s="2">
        <f t="shared" si="23"/>
        <v>55528754190</v>
      </c>
      <c r="O481" s="12">
        <f t="shared" si="21"/>
        <v>43678</v>
      </c>
    </row>
    <row r="482" spans="1:15" x14ac:dyDescent="0.3">
      <c r="A482">
        <v>2019</v>
      </c>
      <c r="B482">
        <v>9</v>
      </c>
      <c r="C482" t="s">
        <v>10</v>
      </c>
      <c r="D482" t="s">
        <v>11</v>
      </c>
      <c r="E482">
        <v>11286</v>
      </c>
      <c r="F482" s="2">
        <v>49384</v>
      </c>
      <c r="G482" s="1">
        <v>557347824</v>
      </c>
      <c r="H482">
        <v>1.6E-2</v>
      </c>
      <c r="I482">
        <v>14.35</v>
      </c>
      <c r="J482" s="3">
        <v>3.91</v>
      </c>
      <c r="M482" t="str">
        <f t="shared" si="22"/>
        <v>Low Growth</v>
      </c>
      <c r="N482" s="2">
        <f t="shared" si="23"/>
        <v>56325491359</v>
      </c>
      <c r="O482" s="12">
        <f t="shared" si="21"/>
        <v>43709</v>
      </c>
    </row>
    <row r="483" spans="1:15" x14ac:dyDescent="0.3">
      <c r="A483">
        <v>2019</v>
      </c>
      <c r="B483">
        <v>9</v>
      </c>
      <c r="C483" t="s">
        <v>10</v>
      </c>
      <c r="D483" t="s">
        <v>12</v>
      </c>
      <c r="E483">
        <v>3608</v>
      </c>
      <c r="F483" s="2">
        <v>61851</v>
      </c>
      <c r="G483" s="1">
        <v>223158408</v>
      </c>
      <c r="H483">
        <v>4.2999999999999997E-2</v>
      </c>
      <c r="I483">
        <v>14.35</v>
      </c>
      <c r="J483" s="3">
        <v>3.91</v>
      </c>
      <c r="M483" t="str">
        <f t="shared" si="22"/>
        <v>High Growth</v>
      </c>
      <c r="N483" s="2">
        <f t="shared" si="23"/>
        <v>56325491359</v>
      </c>
      <c r="O483" s="12">
        <f t="shared" si="21"/>
        <v>43709</v>
      </c>
    </row>
    <row r="484" spans="1:15" x14ac:dyDescent="0.3">
      <c r="A484">
        <v>2019</v>
      </c>
      <c r="B484">
        <v>9</v>
      </c>
      <c r="C484" t="s">
        <v>10</v>
      </c>
      <c r="D484" t="s">
        <v>13</v>
      </c>
      <c r="E484">
        <v>11365</v>
      </c>
      <c r="F484" s="2">
        <v>57687</v>
      </c>
      <c r="G484" s="1">
        <v>655612755</v>
      </c>
      <c r="H484">
        <v>4.9000000000000002E-2</v>
      </c>
      <c r="I484">
        <v>14.35</v>
      </c>
      <c r="J484" s="3">
        <v>3.91</v>
      </c>
      <c r="M484" t="str">
        <f t="shared" si="22"/>
        <v>High Growth</v>
      </c>
      <c r="N484" s="2">
        <f t="shared" si="23"/>
        <v>56325491359</v>
      </c>
      <c r="O484" s="12">
        <f t="shared" si="21"/>
        <v>43709</v>
      </c>
    </row>
    <row r="485" spans="1:15" x14ac:dyDescent="0.3">
      <c r="A485">
        <v>2019</v>
      </c>
      <c r="B485">
        <v>9</v>
      </c>
      <c r="C485" t="s">
        <v>10</v>
      </c>
      <c r="D485" t="s">
        <v>14</v>
      </c>
      <c r="E485">
        <v>10613</v>
      </c>
      <c r="F485" s="2">
        <v>69973</v>
      </c>
      <c r="G485" s="1">
        <v>742623449</v>
      </c>
      <c r="H485">
        <v>3.9E-2</v>
      </c>
      <c r="I485">
        <v>14.35</v>
      </c>
      <c r="J485" s="3">
        <v>3.91</v>
      </c>
      <c r="M485" t="str">
        <f t="shared" si="22"/>
        <v>High Growth</v>
      </c>
      <c r="N485" s="2">
        <f t="shared" si="23"/>
        <v>56325491359</v>
      </c>
      <c r="O485" s="12">
        <f t="shared" si="21"/>
        <v>43709</v>
      </c>
    </row>
    <row r="486" spans="1:15" x14ac:dyDescent="0.3">
      <c r="A486">
        <v>2019</v>
      </c>
      <c r="B486">
        <v>9</v>
      </c>
      <c r="C486" t="s">
        <v>10</v>
      </c>
      <c r="D486" t="s">
        <v>15</v>
      </c>
      <c r="E486">
        <v>4453</v>
      </c>
      <c r="F486" s="2">
        <v>91243</v>
      </c>
      <c r="G486" s="1">
        <v>406305079</v>
      </c>
      <c r="H486">
        <v>4.3999999999999997E-2</v>
      </c>
      <c r="I486">
        <v>14.35</v>
      </c>
      <c r="J486" s="3">
        <v>3.91</v>
      </c>
      <c r="M486" t="str">
        <f t="shared" si="22"/>
        <v>High Growth</v>
      </c>
      <c r="N486" s="2">
        <f t="shared" si="23"/>
        <v>56325491359</v>
      </c>
      <c r="O486" s="12">
        <f t="shared" si="21"/>
        <v>43709</v>
      </c>
    </row>
    <row r="487" spans="1:15" x14ac:dyDescent="0.3">
      <c r="A487">
        <v>2019</v>
      </c>
      <c r="B487">
        <v>9</v>
      </c>
      <c r="C487" t="s">
        <v>10</v>
      </c>
      <c r="D487" t="s">
        <v>16</v>
      </c>
      <c r="E487">
        <v>8495</v>
      </c>
      <c r="F487" s="2">
        <v>63162</v>
      </c>
      <c r="G487" s="1">
        <v>536561190</v>
      </c>
      <c r="H487">
        <v>4.2999999999999997E-2</v>
      </c>
      <c r="I487">
        <v>14.35</v>
      </c>
      <c r="J487" s="3">
        <v>3.91</v>
      </c>
      <c r="M487" t="str">
        <f t="shared" si="22"/>
        <v>High Growth</v>
      </c>
      <c r="N487" s="2">
        <f t="shared" si="23"/>
        <v>56325491359</v>
      </c>
      <c r="O487" s="12">
        <f t="shared" si="21"/>
        <v>43709</v>
      </c>
    </row>
    <row r="488" spans="1:15" x14ac:dyDescent="0.3">
      <c r="A488">
        <v>2019</v>
      </c>
      <c r="B488">
        <v>9</v>
      </c>
      <c r="C488" t="s">
        <v>10</v>
      </c>
      <c r="D488" t="s">
        <v>17</v>
      </c>
      <c r="E488">
        <v>5069</v>
      </c>
      <c r="F488" s="2">
        <v>76919</v>
      </c>
      <c r="G488" s="1">
        <v>389902411</v>
      </c>
      <c r="H488">
        <v>4.2999999999999997E-2</v>
      </c>
      <c r="I488">
        <v>14.35</v>
      </c>
      <c r="J488" s="3">
        <v>3.91</v>
      </c>
      <c r="M488" t="str">
        <f t="shared" si="22"/>
        <v>High Growth</v>
      </c>
      <c r="N488" s="2">
        <f t="shared" si="23"/>
        <v>56325491359</v>
      </c>
      <c r="O488" s="12">
        <f t="shared" si="21"/>
        <v>43709</v>
      </c>
    </row>
    <row r="489" spans="1:15" x14ac:dyDescent="0.3">
      <c r="A489">
        <v>2019</v>
      </c>
      <c r="B489">
        <v>9</v>
      </c>
      <c r="C489" t="s">
        <v>10</v>
      </c>
      <c r="D489" t="s">
        <v>18</v>
      </c>
      <c r="E489">
        <v>5114</v>
      </c>
      <c r="F489" s="2">
        <v>41641</v>
      </c>
      <c r="G489" s="1">
        <v>212952074</v>
      </c>
      <c r="H489">
        <v>4.9000000000000002E-2</v>
      </c>
      <c r="I489">
        <v>14.35</v>
      </c>
      <c r="J489" s="3">
        <v>3.91</v>
      </c>
      <c r="M489" t="str">
        <f t="shared" si="22"/>
        <v>High Growth</v>
      </c>
      <c r="N489" s="2">
        <f t="shared" si="23"/>
        <v>56325491359</v>
      </c>
      <c r="O489" s="12">
        <f t="shared" si="21"/>
        <v>43709</v>
      </c>
    </row>
    <row r="490" spans="1:15" x14ac:dyDescent="0.3">
      <c r="A490">
        <v>2019</v>
      </c>
      <c r="B490">
        <v>9</v>
      </c>
      <c r="C490" t="s">
        <v>19</v>
      </c>
      <c r="D490" t="s">
        <v>11</v>
      </c>
      <c r="E490">
        <v>8890</v>
      </c>
      <c r="F490" s="2">
        <v>49590</v>
      </c>
      <c r="G490" s="1">
        <v>440855100</v>
      </c>
      <c r="H490">
        <v>2.1000000000000001E-2</v>
      </c>
      <c r="I490">
        <v>15.09</v>
      </c>
      <c r="J490" s="3">
        <v>2.52</v>
      </c>
      <c r="M490" t="str">
        <f t="shared" si="22"/>
        <v>Low Growth</v>
      </c>
      <c r="N490" s="2">
        <f t="shared" si="23"/>
        <v>58905926051</v>
      </c>
      <c r="O490" s="12">
        <f t="shared" si="21"/>
        <v>43709</v>
      </c>
    </row>
    <row r="491" spans="1:15" x14ac:dyDescent="0.3">
      <c r="A491">
        <v>2019</v>
      </c>
      <c r="B491">
        <v>9</v>
      </c>
      <c r="C491" t="s">
        <v>19</v>
      </c>
      <c r="D491" t="s">
        <v>12</v>
      </c>
      <c r="E491">
        <v>3592</v>
      </c>
      <c r="F491" s="2">
        <v>63831</v>
      </c>
      <c r="G491" s="1">
        <v>229280952</v>
      </c>
      <c r="H491">
        <v>5.3999999999999999E-2</v>
      </c>
      <c r="I491">
        <v>15.09</v>
      </c>
      <c r="J491" s="3">
        <v>2.52</v>
      </c>
      <c r="M491" t="str">
        <f t="shared" si="22"/>
        <v>High Growth</v>
      </c>
      <c r="N491" s="2">
        <f t="shared" si="23"/>
        <v>58905926051</v>
      </c>
      <c r="O491" s="12">
        <f t="shared" si="21"/>
        <v>43709</v>
      </c>
    </row>
    <row r="492" spans="1:15" x14ac:dyDescent="0.3">
      <c r="A492">
        <v>2019</v>
      </c>
      <c r="B492">
        <v>9</v>
      </c>
      <c r="C492" t="s">
        <v>19</v>
      </c>
      <c r="D492" t="s">
        <v>13</v>
      </c>
      <c r="E492">
        <v>4159</v>
      </c>
      <c r="F492" s="2">
        <v>59959</v>
      </c>
      <c r="G492" s="1">
        <v>249369481</v>
      </c>
      <c r="H492">
        <v>5.7000000000000002E-2</v>
      </c>
      <c r="I492">
        <v>15.09</v>
      </c>
      <c r="J492" s="3">
        <v>2.52</v>
      </c>
      <c r="M492" t="str">
        <f t="shared" si="22"/>
        <v>High Growth</v>
      </c>
      <c r="N492" s="2">
        <f t="shared" si="23"/>
        <v>58905926051</v>
      </c>
      <c r="O492" s="12">
        <f t="shared" si="21"/>
        <v>43709</v>
      </c>
    </row>
    <row r="493" spans="1:15" x14ac:dyDescent="0.3">
      <c r="A493">
        <v>2019</v>
      </c>
      <c r="B493">
        <v>9</v>
      </c>
      <c r="C493" t="s">
        <v>19</v>
      </c>
      <c r="D493" t="s">
        <v>14</v>
      </c>
      <c r="E493">
        <v>9953</v>
      </c>
      <c r="F493" s="2">
        <v>68336</v>
      </c>
      <c r="G493" s="1">
        <v>680148208</v>
      </c>
      <c r="H493">
        <v>4.1000000000000002E-2</v>
      </c>
      <c r="I493">
        <v>15.09</v>
      </c>
      <c r="J493" s="3">
        <v>2.52</v>
      </c>
      <c r="M493" t="str">
        <f t="shared" si="22"/>
        <v>High Growth</v>
      </c>
      <c r="N493" s="2">
        <f t="shared" si="23"/>
        <v>58905926051</v>
      </c>
      <c r="O493" s="12">
        <f t="shared" si="21"/>
        <v>43709</v>
      </c>
    </row>
    <row r="494" spans="1:15" x14ac:dyDescent="0.3">
      <c r="A494">
        <v>2019</v>
      </c>
      <c r="B494">
        <v>9</v>
      </c>
      <c r="C494" t="s">
        <v>19</v>
      </c>
      <c r="D494" t="s">
        <v>15</v>
      </c>
      <c r="E494">
        <v>7659</v>
      </c>
      <c r="F494" s="2">
        <v>93031</v>
      </c>
      <c r="G494" s="1">
        <v>712524429</v>
      </c>
      <c r="H494">
        <v>3.4000000000000002E-2</v>
      </c>
      <c r="I494">
        <v>15.09</v>
      </c>
      <c r="J494" s="3">
        <v>2.52</v>
      </c>
      <c r="M494" t="str">
        <f t="shared" si="22"/>
        <v>High Growth</v>
      </c>
      <c r="N494" s="2">
        <f t="shared" si="23"/>
        <v>58905926051</v>
      </c>
      <c r="O494" s="12">
        <f t="shared" si="21"/>
        <v>43709</v>
      </c>
    </row>
    <row r="495" spans="1:15" x14ac:dyDescent="0.3">
      <c r="A495">
        <v>2019</v>
      </c>
      <c r="B495">
        <v>9</v>
      </c>
      <c r="C495" t="s">
        <v>19</v>
      </c>
      <c r="D495" t="s">
        <v>16</v>
      </c>
      <c r="E495">
        <v>5028</v>
      </c>
      <c r="F495" s="2">
        <v>63370</v>
      </c>
      <c r="G495" s="1">
        <v>318624360</v>
      </c>
      <c r="H495">
        <v>5.0999999999999997E-2</v>
      </c>
      <c r="I495">
        <v>15.09</v>
      </c>
      <c r="J495" s="3">
        <v>2.52</v>
      </c>
      <c r="M495" t="str">
        <f t="shared" si="22"/>
        <v>High Growth</v>
      </c>
      <c r="N495" s="2">
        <f t="shared" si="23"/>
        <v>58905926051</v>
      </c>
      <c r="O495" s="12">
        <f t="shared" si="21"/>
        <v>43709</v>
      </c>
    </row>
    <row r="496" spans="1:15" x14ac:dyDescent="0.3">
      <c r="A496">
        <v>2019</v>
      </c>
      <c r="B496">
        <v>9</v>
      </c>
      <c r="C496" t="s">
        <v>19</v>
      </c>
      <c r="D496" t="s">
        <v>17</v>
      </c>
      <c r="E496">
        <v>9603</v>
      </c>
      <c r="F496" s="2">
        <v>76064</v>
      </c>
      <c r="G496" s="1">
        <v>730442592</v>
      </c>
      <c r="H496">
        <v>3.9E-2</v>
      </c>
      <c r="I496">
        <v>15.09</v>
      </c>
      <c r="J496" s="3">
        <v>2.52</v>
      </c>
      <c r="M496" t="str">
        <f t="shared" si="22"/>
        <v>High Growth</v>
      </c>
      <c r="N496" s="2">
        <f t="shared" si="23"/>
        <v>58905926051</v>
      </c>
      <c r="O496" s="12">
        <f t="shared" si="21"/>
        <v>43709</v>
      </c>
    </row>
    <row r="497" spans="1:15" x14ac:dyDescent="0.3">
      <c r="A497">
        <v>2019</v>
      </c>
      <c r="B497">
        <v>9</v>
      </c>
      <c r="C497" t="s">
        <v>19</v>
      </c>
      <c r="D497" t="s">
        <v>18</v>
      </c>
      <c r="E497">
        <v>3508</v>
      </c>
      <c r="F497" s="2">
        <v>43062</v>
      </c>
      <c r="G497" s="1">
        <v>151061496</v>
      </c>
      <c r="H497">
        <v>6.0999999999999999E-2</v>
      </c>
      <c r="I497">
        <v>15.09</v>
      </c>
      <c r="J497" s="3">
        <v>2.52</v>
      </c>
      <c r="M497" t="str">
        <f t="shared" si="22"/>
        <v>High Growth</v>
      </c>
      <c r="N497" s="2">
        <f t="shared" si="23"/>
        <v>58905926051</v>
      </c>
      <c r="O497" s="12">
        <f t="shared" si="21"/>
        <v>43709</v>
      </c>
    </row>
    <row r="498" spans="1:15" x14ac:dyDescent="0.3">
      <c r="A498">
        <v>2019</v>
      </c>
      <c r="B498">
        <v>9</v>
      </c>
      <c r="C498" t="s">
        <v>20</v>
      </c>
      <c r="D498" t="s">
        <v>11</v>
      </c>
      <c r="E498">
        <v>9824</v>
      </c>
      <c r="F498" s="2">
        <v>49669</v>
      </c>
      <c r="G498" s="1">
        <v>487948256</v>
      </c>
      <c r="H498">
        <v>4.2000000000000003E-2</v>
      </c>
      <c r="I498">
        <v>15.59</v>
      </c>
      <c r="J498" s="3">
        <v>3.37</v>
      </c>
      <c r="M498" t="str">
        <f t="shared" si="22"/>
        <v>High Growth</v>
      </c>
      <c r="N498" s="2">
        <f t="shared" si="23"/>
        <v>54599997295</v>
      </c>
      <c r="O498" s="12">
        <f t="shared" si="21"/>
        <v>43709</v>
      </c>
    </row>
    <row r="499" spans="1:15" x14ac:dyDescent="0.3">
      <c r="A499">
        <v>2019</v>
      </c>
      <c r="B499">
        <v>9</v>
      </c>
      <c r="C499" t="s">
        <v>20</v>
      </c>
      <c r="D499" t="s">
        <v>12</v>
      </c>
      <c r="E499">
        <v>8071</v>
      </c>
      <c r="F499" s="2">
        <v>61633</v>
      </c>
      <c r="G499" s="1">
        <v>497439943</v>
      </c>
      <c r="H499">
        <v>4.7E-2</v>
      </c>
      <c r="I499">
        <v>15.59</v>
      </c>
      <c r="J499" s="3">
        <v>3.37</v>
      </c>
      <c r="M499" t="str">
        <f t="shared" si="22"/>
        <v>High Growth</v>
      </c>
      <c r="N499" s="2">
        <f t="shared" si="23"/>
        <v>54599997295</v>
      </c>
      <c r="O499" s="12">
        <f t="shared" si="21"/>
        <v>43709</v>
      </c>
    </row>
    <row r="500" spans="1:15" x14ac:dyDescent="0.3">
      <c r="A500">
        <v>2019</v>
      </c>
      <c r="B500">
        <v>9</v>
      </c>
      <c r="C500" t="s">
        <v>20</v>
      </c>
      <c r="D500" t="s">
        <v>13</v>
      </c>
      <c r="E500">
        <v>4551</v>
      </c>
      <c r="F500" s="2">
        <v>56852</v>
      </c>
      <c r="G500" s="1">
        <v>258733452</v>
      </c>
      <c r="H500">
        <v>3.4000000000000002E-2</v>
      </c>
      <c r="I500">
        <v>15.59</v>
      </c>
      <c r="J500" s="3">
        <v>3.37</v>
      </c>
      <c r="M500" t="str">
        <f t="shared" si="22"/>
        <v>High Growth</v>
      </c>
      <c r="N500" s="2">
        <f t="shared" si="23"/>
        <v>54599997295</v>
      </c>
      <c r="O500" s="12">
        <f t="shared" si="21"/>
        <v>43709</v>
      </c>
    </row>
  </sheetData>
  <conditionalFormatting sqref="G2:G500">
    <cfRule type="top10" dxfId="6" priority="2" percent="1" rank="10"/>
  </conditionalFormatting>
  <conditionalFormatting sqref="J2:J500">
    <cfRule type="cellIs" dxfId="5" priority="1" operator="lessThan">
      <formula>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778AF-D918-465D-BC84-414CDBD18986}">
  <sheetPr>
    <tabColor theme="9" tint="0.39997558519241921"/>
  </sheetPr>
  <dimension ref="A1:I28"/>
  <sheetViews>
    <sheetView workbookViewId="0">
      <selection activeCell="H34" sqref="H34"/>
    </sheetView>
  </sheetViews>
  <sheetFormatPr defaultRowHeight="14.4" x14ac:dyDescent="0.3"/>
  <sheetData>
    <row r="1" spans="1:9" x14ac:dyDescent="0.3">
      <c r="A1" s="13">
        <v>1</v>
      </c>
    </row>
    <row r="3" spans="1:9" x14ac:dyDescent="0.3">
      <c r="A3" s="14" t="s">
        <v>37</v>
      </c>
      <c r="B3" s="14"/>
      <c r="C3" s="14"/>
      <c r="D3" s="14"/>
      <c r="E3" s="14"/>
      <c r="F3" s="14"/>
      <c r="G3" s="14"/>
      <c r="H3" s="14"/>
      <c r="I3" s="14"/>
    </row>
    <row r="4" spans="1:9" x14ac:dyDescent="0.3">
      <c r="A4" s="14" t="s">
        <v>38</v>
      </c>
      <c r="B4" s="14"/>
      <c r="C4" s="14"/>
      <c r="D4" s="14"/>
      <c r="E4" s="14"/>
      <c r="F4" s="14"/>
      <c r="G4" s="14"/>
      <c r="H4" s="14"/>
      <c r="I4" s="14"/>
    </row>
    <row r="6" spans="1:9" x14ac:dyDescent="0.3">
      <c r="A6" s="13">
        <v>2</v>
      </c>
    </row>
    <row r="8" spans="1:9" x14ac:dyDescent="0.3">
      <c r="A8" s="14" t="s">
        <v>39</v>
      </c>
      <c r="B8" s="14"/>
      <c r="C8" s="14"/>
      <c r="D8" s="14"/>
      <c r="E8" s="14"/>
      <c r="F8" s="14"/>
    </row>
    <row r="9" spans="1:9" x14ac:dyDescent="0.3">
      <c r="A9" s="14" t="s">
        <v>40</v>
      </c>
      <c r="B9" s="14"/>
      <c r="C9" s="14"/>
      <c r="D9" s="14"/>
      <c r="E9" s="14"/>
      <c r="F9" s="14"/>
    </row>
    <row r="10" spans="1:9" x14ac:dyDescent="0.3">
      <c r="A10" s="14" t="s">
        <v>41</v>
      </c>
      <c r="B10" s="14"/>
      <c r="C10" s="14"/>
      <c r="D10" s="14"/>
      <c r="E10" s="14"/>
      <c r="F10" s="14"/>
    </row>
    <row r="11" spans="1:9" x14ac:dyDescent="0.3">
      <c r="A11" s="14" t="s">
        <v>42</v>
      </c>
      <c r="B11" s="14"/>
      <c r="C11" s="14"/>
      <c r="D11" s="14"/>
      <c r="E11" s="14"/>
      <c r="F11" s="14"/>
    </row>
    <row r="12" spans="1:9" x14ac:dyDescent="0.3">
      <c r="A12" s="14" t="s">
        <v>43</v>
      </c>
      <c r="B12" s="14"/>
      <c r="C12" s="14"/>
      <c r="D12" s="14"/>
      <c r="E12" s="14"/>
      <c r="F12" s="14"/>
    </row>
    <row r="13" spans="1:9" x14ac:dyDescent="0.3">
      <c r="A13" s="14" t="s">
        <v>44</v>
      </c>
      <c r="B13" s="14"/>
      <c r="C13" s="14"/>
      <c r="D13" s="14"/>
      <c r="E13" s="14"/>
      <c r="F13" s="14"/>
    </row>
    <row r="14" spans="1:9" x14ac:dyDescent="0.3">
      <c r="A14" s="14" t="s">
        <v>45</v>
      </c>
      <c r="B14" s="14"/>
      <c r="C14" s="14"/>
      <c r="D14" s="14"/>
      <c r="E14" s="14"/>
      <c r="F14" s="14"/>
    </row>
    <row r="16" spans="1:9" x14ac:dyDescent="0.3">
      <c r="A16" s="13">
        <v>3</v>
      </c>
    </row>
    <row r="18" spans="1:9" x14ac:dyDescent="0.3">
      <c r="A18" s="14" t="s">
        <v>46</v>
      </c>
      <c r="B18" s="14"/>
      <c r="C18" s="14"/>
      <c r="D18" s="14"/>
      <c r="E18" s="14"/>
      <c r="F18" s="14"/>
      <c r="G18" s="14"/>
    </row>
    <row r="19" spans="1:9" x14ac:dyDescent="0.3">
      <c r="A19" s="14" t="s">
        <v>47</v>
      </c>
      <c r="B19" s="14"/>
      <c r="C19" s="14"/>
      <c r="D19" s="14"/>
      <c r="E19" s="14"/>
      <c r="F19" s="14"/>
      <c r="G19" s="14"/>
    </row>
    <row r="20" spans="1:9" x14ac:dyDescent="0.3">
      <c r="A20" s="14" t="s">
        <v>48</v>
      </c>
      <c r="B20" s="14"/>
      <c r="C20" s="14"/>
      <c r="D20" s="14"/>
      <c r="E20" s="14"/>
      <c r="F20" s="14"/>
      <c r="G20" s="14"/>
    </row>
    <row r="21" spans="1:9" x14ac:dyDescent="0.3">
      <c r="A21" s="14" t="s">
        <v>49</v>
      </c>
      <c r="B21" s="14"/>
      <c r="C21" s="14"/>
      <c r="D21" s="14"/>
      <c r="E21" s="14"/>
      <c r="F21" s="14"/>
      <c r="G21" s="14"/>
    </row>
    <row r="22" spans="1:9" x14ac:dyDescent="0.3">
      <c r="A22" s="14" t="s">
        <v>50</v>
      </c>
      <c r="B22" s="14"/>
      <c r="C22" s="14"/>
      <c r="D22" s="14"/>
      <c r="E22" s="14"/>
      <c r="F22" s="14"/>
      <c r="G22" s="14"/>
    </row>
    <row r="24" spans="1:9" x14ac:dyDescent="0.3">
      <c r="A24" s="13">
        <v>4</v>
      </c>
    </row>
    <row r="26" spans="1:9" x14ac:dyDescent="0.3">
      <c r="A26" s="14" t="s">
        <v>51</v>
      </c>
      <c r="B26" s="14"/>
      <c r="C26" s="14"/>
      <c r="D26" s="14"/>
      <c r="E26" s="14"/>
      <c r="F26" s="14"/>
      <c r="G26" s="14"/>
      <c r="H26" s="14"/>
      <c r="I26" s="14"/>
    </row>
    <row r="27" spans="1:9" x14ac:dyDescent="0.3">
      <c r="A27" s="14" t="s">
        <v>52</v>
      </c>
      <c r="B27" s="14"/>
      <c r="C27" s="14"/>
      <c r="D27" s="14"/>
      <c r="E27" s="14"/>
      <c r="F27" s="14"/>
      <c r="G27" s="14"/>
      <c r="H27" s="14"/>
      <c r="I27" s="14"/>
    </row>
    <row r="28" spans="1:9" x14ac:dyDescent="0.3">
      <c r="A28" s="14" t="s">
        <v>53</v>
      </c>
      <c r="B28" s="14"/>
      <c r="C28" s="14"/>
      <c r="D28" s="14"/>
      <c r="E28" s="14"/>
      <c r="F28" s="14"/>
      <c r="G28" s="14"/>
      <c r="H28" s="14"/>
      <c r="I28"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data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Darshil</dc:creator>
  <cp:lastModifiedBy>Darshil Kotadiya</cp:lastModifiedBy>
  <dcterms:created xsi:type="dcterms:W3CDTF">2026-03-19T04:51:06Z</dcterms:created>
  <dcterms:modified xsi:type="dcterms:W3CDTF">2026-03-19T07:14:54Z</dcterms:modified>
</cp:coreProperties>
</file>