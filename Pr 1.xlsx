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OneDrive\Documents\Excel\"/>
    </mc:Choice>
  </mc:AlternateContent>
  <xr:revisionPtr revIDLastSave="0" documentId="13_ncr:1_{10739875-1650-4482-9C96-64E44D750D7A}" xr6:coauthVersionLast="47" xr6:coauthVersionMax="47" xr10:uidLastSave="{00000000-0000-0000-0000-000000000000}"/>
  <bookViews>
    <workbookView xWindow="-108" yWindow="-108" windowWidth="23256" windowHeight="13176" activeTab="1" xr2:uid="{D39480E1-3960-4A11-B74C-0AC8F7564B87}"/>
  </bookViews>
  <sheets>
    <sheet name="Student" sheetId="1" r:id="rId1"/>
    <sheet name="sales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" i="2" l="1" a="1"/>
  <c r="Q2" i="2" s="1"/>
  <c r="W2" i="2" a="1"/>
  <c r="W2" i="2" s="1"/>
  <c r="P2" i="2"/>
  <c r="I2" i="3"/>
  <c r="G2" i="3"/>
  <c r="V2" i="2"/>
  <c r="U2" i="2"/>
  <c r="S2" i="2"/>
  <c r="N2" i="2"/>
  <c r="N2" i="1"/>
  <c r="L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" i="2"/>
  <c r="H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" i="2"/>
  <c r="Y2" i="1" a="1"/>
  <c r="Y2" i="1" s="1"/>
  <c r="T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" i="1"/>
  <c r="S2" i="1" a="1"/>
  <c r="S2" i="1" s="1"/>
  <c r="Q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P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" i="1"/>
  <c r="K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" i="1"/>
  <c r="G3" i="1"/>
  <c r="H3" i="1" s="1"/>
  <c r="G4" i="1"/>
  <c r="H4" i="1" s="1"/>
  <c r="G5" i="1"/>
  <c r="H5" i="1" s="1"/>
  <c r="G6" i="1"/>
  <c r="H6" i="1" s="1"/>
  <c r="G7" i="1"/>
  <c r="H7" i="1" s="1"/>
  <c r="G8" i="1"/>
  <c r="H8" i="1" s="1"/>
  <c r="G9" i="1"/>
  <c r="H9" i="1" s="1"/>
  <c r="G10" i="1"/>
  <c r="H10" i="1" s="1"/>
  <c r="G11" i="1"/>
  <c r="H11" i="1" s="1"/>
  <c r="G12" i="1"/>
  <c r="H12" i="1" s="1"/>
  <c r="G13" i="1"/>
  <c r="H13" i="1" s="1"/>
  <c r="G14" i="1"/>
  <c r="H14" i="1" s="1"/>
  <c r="G15" i="1"/>
  <c r="H15" i="1" s="1"/>
  <c r="G16" i="1"/>
  <c r="H16" i="1" s="1"/>
  <c r="G17" i="1"/>
  <c r="H17" i="1" s="1"/>
  <c r="G18" i="1"/>
  <c r="H18" i="1" s="1"/>
  <c r="G19" i="1"/>
  <c r="H19" i="1" s="1"/>
  <c r="G20" i="1"/>
  <c r="H20" i="1" s="1"/>
  <c r="G21" i="1"/>
  <c r="H21" i="1" s="1"/>
  <c r="G2" i="1"/>
  <c r="H2" i="1" s="1"/>
  <c r="W3" i="1" l="1"/>
  <c r="X3" i="1"/>
  <c r="W4" i="1"/>
  <c r="X4" i="1"/>
  <c r="W5" i="1"/>
  <c r="X5" i="1"/>
  <c r="W6" i="1"/>
  <c r="X6" i="1"/>
  <c r="W7" i="1"/>
  <c r="X7" i="1"/>
  <c r="X8" i="1"/>
  <c r="W8" i="1"/>
  <c r="W9" i="1"/>
  <c r="X9" i="1"/>
  <c r="W10" i="1"/>
  <c r="X10" i="1"/>
  <c r="W11" i="1"/>
  <c r="X11" i="1"/>
  <c r="W12" i="1"/>
  <c r="X12" i="1"/>
  <c r="W13" i="1"/>
  <c r="X13" i="1"/>
  <c r="W14" i="1"/>
  <c r="X14" i="1"/>
  <c r="W15" i="1"/>
  <c r="X15" i="1"/>
  <c r="W16" i="1"/>
  <c r="X16" i="1"/>
  <c r="W17" i="1"/>
  <c r="X17" i="1"/>
  <c r="W18" i="1"/>
  <c r="X18" i="1"/>
  <c r="W19" i="1"/>
  <c r="X19" i="1"/>
  <c r="W20" i="1"/>
  <c r="X20" i="1"/>
  <c r="W21" i="1"/>
  <c r="X21" i="1"/>
  <c r="W2" i="1"/>
  <c r="X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<sst xmlns="http://schemas.openxmlformats.org/spreadsheetml/2006/main" count="184" uniqueCount="125">
  <si>
    <t>Student ID</t>
  </si>
  <si>
    <t>Name</t>
  </si>
  <si>
    <t>Math</t>
  </si>
  <si>
    <t>Science</t>
  </si>
  <si>
    <t>English</t>
  </si>
  <si>
    <t>Enrollment Date</t>
  </si>
  <si>
    <t>Student 1</t>
  </si>
  <si>
    <t>Student 2</t>
  </si>
  <si>
    <t>Student 3</t>
  </si>
  <si>
    <t>Student 4</t>
  </si>
  <si>
    <t>Student 5</t>
  </si>
  <si>
    <t>Student 6</t>
  </si>
  <si>
    <t>Student 7</t>
  </si>
  <si>
    <t>Student 8</t>
  </si>
  <si>
    <t>Student 9</t>
  </si>
  <si>
    <t>Student 10</t>
  </si>
  <si>
    <t>Student 11</t>
  </si>
  <si>
    <t>Student 12</t>
  </si>
  <si>
    <t>Student 13</t>
  </si>
  <si>
    <t>Student 14</t>
  </si>
  <si>
    <t>Student 15</t>
  </si>
  <si>
    <t>Student 16</t>
  </si>
  <si>
    <t>Student 17</t>
  </si>
  <si>
    <t>Student 18</t>
  </si>
  <si>
    <t>Student 19</t>
  </si>
  <si>
    <t>Student 20</t>
  </si>
  <si>
    <t>Total marks</t>
  </si>
  <si>
    <t>Percentage</t>
  </si>
  <si>
    <t>current age</t>
  </si>
  <si>
    <t>If ,And/or</t>
  </si>
  <si>
    <t>countif</t>
  </si>
  <si>
    <t>Avrageif</t>
  </si>
  <si>
    <t>student name</t>
  </si>
  <si>
    <t>student id</t>
  </si>
  <si>
    <t>student marks</t>
  </si>
  <si>
    <t>Left</t>
  </si>
  <si>
    <t>upper case</t>
  </si>
  <si>
    <t>Lower case</t>
  </si>
  <si>
    <t xml:space="preserve"> </t>
  </si>
  <si>
    <t>c2:c21</t>
  </si>
  <si>
    <t>Round</t>
  </si>
  <si>
    <t>Ceiling</t>
  </si>
  <si>
    <t>Floor</t>
  </si>
  <si>
    <t>Top student</t>
  </si>
  <si>
    <t>INDIRECT</t>
  </si>
  <si>
    <t>Date</t>
  </si>
  <si>
    <t>Sales ID</t>
  </si>
  <si>
    <t>Product</t>
  </si>
  <si>
    <t>Region</t>
  </si>
  <si>
    <t>Salesperson</t>
  </si>
  <si>
    <t>Amount</t>
  </si>
  <si>
    <t>Keyboard</t>
  </si>
  <si>
    <t>South</t>
  </si>
  <si>
    <t>Person 1</t>
  </si>
  <si>
    <t>Printer</t>
  </si>
  <si>
    <t>West</t>
  </si>
  <si>
    <t>Person 2</t>
  </si>
  <si>
    <t>Mouse</t>
  </si>
  <si>
    <t>Person 3</t>
  </si>
  <si>
    <t>East</t>
  </si>
  <si>
    <t>Person 4</t>
  </si>
  <si>
    <t>North</t>
  </si>
  <si>
    <t>Person 5</t>
  </si>
  <si>
    <t>Person 6</t>
  </si>
  <si>
    <t>Person 7</t>
  </si>
  <si>
    <t>Person 8</t>
  </si>
  <si>
    <t>Person 9</t>
  </si>
  <si>
    <t>Person 10</t>
  </si>
  <si>
    <t>Person 11</t>
  </si>
  <si>
    <t>Monitor</t>
  </si>
  <si>
    <t>Person 12</t>
  </si>
  <si>
    <t>Laptop</t>
  </si>
  <si>
    <t>Person 13</t>
  </si>
  <si>
    <t>Person 14</t>
  </si>
  <si>
    <t>Person 15</t>
  </si>
  <si>
    <t>Person 16</t>
  </si>
  <si>
    <t>Person 17</t>
  </si>
  <si>
    <t>Person 18</t>
  </si>
  <si>
    <t>Person 19</t>
  </si>
  <si>
    <t>Person 20</t>
  </si>
  <si>
    <t>Discount</t>
  </si>
  <si>
    <t>Final amount</t>
  </si>
  <si>
    <t>Product discount</t>
  </si>
  <si>
    <t>Amount of sales</t>
  </si>
  <si>
    <t>TO find product</t>
  </si>
  <si>
    <t>Salesman</t>
  </si>
  <si>
    <t>Month</t>
  </si>
  <si>
    <t>Sales by salesman</t>
  </si>
  <si>
    <t>Sales Amount</t>
  </si>
  <si>
    <t>Sales person</t>
  </si>
  <si>
    <t>Offset</t>
  </si>
  <si>
    <t>postion</t>
  </si>
  <si>
    <t>Employee ID</t>
  </si>
  <si>
    <t>Department</t>
  </si>
  <si>
    <t>Salary</t>
  </si>
  <si>
    <t>Joining Date</t>
  </si>
  <si>
    <t>Employee 1</t>
  </si>
  <si>
    <t>Finance</t>
  </si>
  <si>
    <t>Employee 2</t>
  </si>
  <si>
    <t>Employee 3</t>
  </si>
  <si>
    <t>HR</t>
  </si>
  <si>
    <t>Employee 4</t>
  </si>
  <si>
    <t>Employee 5</t>
  </si>
  <si>
    <t>IT</t>
  </si>
  <si>
    <t>Employee 6</t>
  </si>
  <si>
    <t>Employee 7</t>
  </si>
  <si>
    <t>Marketing</t>
  </si>
  <si>
    <t>Employee 8</t>
  </si>
  <si>
    <t>Employee 9</t>
  </si>
  <si>
    <t>Employee 10</t>
  </si>
  <si>
    <t>Employee 11</t>
  </si>
  <si>
    <t>Employee 12</t>
  </si>
  <si>
    <t>Employee 13</t>
  </si>
  <si>
    <t>Employee 14</t>
  </si>
  <si>
    <t>Employee 15</t>
  </si>
  <si>
    <t>Employee 16</t>
  </si>
  <si>
    <t>Employee 17</t>
  </si>
  <si>
    <t>Employee 18</t>
  </si>
  <si>
    <t>Employee 19</t>
  </si>
  <si>
    <t>Employee 20</t>
  </si>
  <si>
    <t xml:space="preserve">emp id to find </t>
  </si>
  <si>
    <t xml:space="preserve">emp lid to find </t>
  </si>
  <si>
    <t>department</t>
  </si>
  <si>
    <t xml:space="preserve">months </t>
  </si>
  <si>
    <t>Person 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</si>
</sst>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</fills>
  <borders count="1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/>
      <bottom/>
      <diagonal/>
    </border>
    <border>
      <left style="medium">
        <color rgb="FFCCCCCC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/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22" fontId="3" fillId="0" borderId="4" xfId="0" applyNumberFormat="1" applyFont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2" fillId="2" borderId="6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22" fontId="3" fillId="0" borderId="9" xfId="0" applyNumberFormat="1" applyFont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3" fillId="0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2CC"/>
      <color rgb="FFFFFBB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F145D-42B8-4959-BEF2-B0F3302B96F6}">
  <dimension ref="A1:AC23"/>
  <sheetViews>
    <sheetView topLeftCell="H1" workbookViewId="0">
      <selection activeCell="N3" sqref="N3"/>
    </sheetView>
  </sheetViews>
  <sheetFormatPr defaultRowHeight="14.4" x14ac:dyDescent="0.3"/>
  <cols>
    <col min="6" max="6" width="15.44140625" bestFit="1" customWidth="1"/>
    <col min="8" max="8" width="10.6640625" customWidth="1"/>
    <col min="10" max="10" width="11.88671875" customWidth="1"/>
    <col min="18" max="18" width="10.21875" customWidth="1"/>
  </cols>
  <sheetData>
    <row r="1" spans="1:29" ht="29.4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6" t="s">
        <v>26</v>
      </c>
      <c r="H1" s="6" t="s">
        <v>27</v>
      </c>
      <c r="I1" s="6" t="s">
        <v>28</v>
      </c>
      <c r="J1" s="6" t="s">
        <v>29</v>
      </c>
      <c r="K1" s="6" t="s">
        <v>30</v>
      </c>
      <c r="L1" s="6" t="s">
        <v>31</v>
      </c>
      <c r="M1" s="6" t="s">
        <v>0</v>
      </c>
      <c r="N1" s="6" t="s">
        <v>32</v>
      </c>
      <c r="O1" s="6" t="s">
        <v>33</v>
      </c>
      <c r="P1" s="6" t="s">
        <v>34</v>
      </c>
      <c r="Q1" s="6" t="s">
        <v>35</v>
      </c>
      <c r="R1" s="6" t="s">
        <v>36</v>
      </c>
      <c r="S1" s="6" t="s">
        <v>37</v>
      </c>
      <c r="T1" s="7" t="s">
        <v>44</v>
      </c>
      <c r="U1" s="8" t="s">
        <v>45</v>
      </c>
      <c r="V1" s="7" t="s">
        <v>40</v>
      </c>
      <c r="W1" s="7" t="s">
        <v>41</v>
      </c>
      <c r="X1" s="7" t="s">
        <v>42</v>
      </c>
      <c r="Y1" s="9" t="s">
        <v>43</v>
      </c>
      <c r="Z1" s="9"/>
      <c r="AA1" s="9"/>
      <c r="AB1" s="9"/>
      <c r="AC1" s="9"/>
    </row>
    <row r="2" spans="1:29" ht="15" thickBot="1" x14ac:dyDescent="0.35">
      <c r="A2" s="3">
        <v>1001</v>
      </c>
      <c r="B2" s="4" t="s">
        <v>6</v>
      </c>
      <c r="C2" s="4">
        <v>61</v>
      </c>
      <c r="D2" s="4">
        <v>48</v>
      </c>
      <c r="E2" s="4">
        <v>76</v>
      </c>
      <c r="F2" s="5">
        <v>43101</v>
      </c>
      <c r="G2">
        <f>C2+D2+E2</f>
        <v>185</v>
      </c>
      <c r="H2">
        <f>(G2/300)*100</f>
        <v>61.666666666666671</v>
      </c>
      <c r="J2" t="str">
        <f>IF(AND(C2&gt;80,D2&gt;80),"Top Student","Normal")</f>
        <v>Normal</v>
      </c>
      <c r="K2">
        <f>COUNTIFS(C2:C21,"&gt;50")</f>
        <v>19</v>
      </c>
      <c r="L2">
        <f>AVERAGEIFS(C2:C21,C2:C21,"&gt;60")</f>
        <v>82.263157894736835</v>
      </c>
      <c r="M2">
        <v>1002</v>
      </c>
      <c r="N2" t="str">
        <f>VLOOKUP(M2,A2:B21,2,FALSE)</f>
        <v>Student 2</v>
      </c>
      <c r="O2">
        <v>1013</v>
      </c>
      <c r="P2">
        <f>INDEX(C2:C21,MATCH(O2,A2:A21,0))</f>
        <v>98</v>
      </c>
      <c r="Q2" t="str">
        <f>LEFT(B2,FIND(" ",B2)-1)</f>
        <v>Student</v>
      </c>
      <c r="R2" t="str">
        <f>UPPER(B2)</f>
        <v>STUDENT 1</v>
      </c>
      <c r="S2" t="str" cm="1">
        <f t="array" ref="S2:S21">LOWER(B2:B21)</f>
        <v>student 1</v>
      </c>
      <c r="T2">
        <f ca="1">SUM(INDIRECT(A23))</f>
        <v>1604</v>
      </c>
      <c r="U2">
        <f ca="1">TODAY()-F2</f>
        <v>2992</v>
      </c>
      <c r="V2">
        <f>ROUND(AVERAGE(C2:E2),2)</f>
        <v>61.67</v>
      </c>
      <c r="W2">
        <f>CEILING(H2,10)</f>
        <v>70</v>
      </c>
      <c r="X2">
        <f>FLOOR(H2,10)</f>
        <v>60</v>
      </c>
      <c r="Y2" cm="1">
        <f t="array" ref="Y2:AC7">_xlfn._xlws.FILTER(A2:E21,C2:C21&gt;90)</f>
        <v>1003</v>
      </c>
      <c r="Z2" t="str">
        <v>Student 3</v>
      </c>
      <c r="AA2">
        <v>97</v>
      </c>
      <c r="AB2">
        <v>60</v>
      </c>
      <c r="AC2">
        <v>51</v>
      </c>
    </row>
    <row r="3" spans="1:29" ht="15" thickBot="1" x14ac:dyDescent="0.35">
      <c r="A3" s="3">
        <v>1002</v>
      </c>
      <c r="B3" s="4" t="s">
        <v>7</v>
      </c>
      <c r="C3" s="4">
        <v>78</v>
      </c>
      <c r="D3" s="4">
        <v>76</v>
      </c>
      <c r="E3" s="4">
        <v>70</v>
      </c>
      <c r="F3" s="5">
        <v>43281</v>
      </c>
      <c r="G3">
        <f t="shared" ref="G3:G21" si="0">C3+D3+E3</f>
        <v>224</v>
      </c>
      <c r="H3">
        <f t="shared" ref="H3:H21" si="1">(G3/300)*100</f>
        <v>74.666666666666671</v>
      </c>
      <c r="J3" t="str">
        <f t="shared" ref="J3:J21" si="2">IF(AND(C3&gt;80,D3&gt;80),"Top Student","Normal")</f>
        <v>Normal</v>
      </c>
      <c r="L3">
        <f t="shared" ref="L3:L21" si="3">AVERAGEIFS(C3:C22,C3:C22,"&gt;60")</f>
        <v>83.444444444444443</v>
      </c>
      <c r="Q3" t="str">
        <f t="shared" ref="Q3:Q21" si="4">LEFT(B3,FIND(" ",B3)-1)</f>
        <v>Student</v>
      </c>
      <c r="R3" t="str">
        <f t="shared" ref="R3:R21" si="5">UPPER(B3)</f>
        <v>STUDENT 2</v>
      </c>
      <c r="S3" t="str">
        <v>student 2</v>
      </c>
      <c r="U3">
        <f ca="1">TODAY()-F3</f>
        <v>2812</v>
      </c>
      <c r="V3">
        <f>ROUND(AVERAGE(C3:E3),2)</f>
        <v>74.67</v>
      </c>
      <c r="W3">
        <f>CEILING(H3,10)</f>
        <v>80</v>
      </c>
      <c r="X3">
        <f>FLOOR(H3,10)</f>
        <v>70</v>
      </c>
      <c r="Y3">
        <v>1008</v>
      </c>
      <c r="Z3" t="str">
        <v>Student 8</v>
      </c>
      <c r="AA3">
        <v>94</v>
      </c>
      <c r="AB3">
        <v>67</v>
      </c>
      <c r="AC3">
        <v>64</v>
      </c>
    </row>
    <row r="4" spans="1:29" ht="15" thickBot="1" x14ac:dyDescent="0.35">
      <c r="A4" s="3">
        <v>1003</v>
      </c>
      <c r="B4" s="4" t="s">
        <v>8</v>
      </c>
      <c r="C4" s="4">
        <v>97</v>
      </c>
      <c r="D4" s="4">
        <v>60</v>
      </c>
      <c r="E4" s="4">
        <v>51</v>
      </c>
      <c r="F4" s="5">
        <v>43461</v>
      </c>
      <c r="G4">
        <f t="shared" si="0"/>
        <v>208</v>
      </c>
      <c r="H4">
        <f t="shared" si="1"/>
        <v>69.333333333333343</v>
      </c>
      <c r="J4" t="str">
        <f t="shared" si="2"/>
        <v>Normal</v>
      </c>
      <c r="L4">
        <f t="shared" si="3"/>
        <v>83.764705882352942</v>
      </c>
      <c r="Q4" t="str">
        <f t="shared" si="4"/>
        <v>Student</v>
      </c>
      <c r="R4" t="str">
        <f t="shared" si="5"/>
        <v>STUDENT 3</v>
      </c>
      <c r="S4" t="str">
        <v>student 3</v>
      </c>
      <c r="U4">
        <f ca="1">TODAY()-F4</f>
        <v>2632</v>
      </c>
      <c r="V4">
        <f>ROUND(AVERAGE(C4:E4),2)</f>
        <v>69.33</v>
      </c>
      <c r="W4">
        <f>CEILING(H4,10)</f>
        <v>70</v>
      </c>
      <c r="X4">
        <f>FLOOR(H4,10)</f>
        <v>60</v>
      </c>
      <c r="Y4">
        <v>1010</v>
      </c>
      <c r="Z4" t="str">
        <v>Student 10</v>
      </c>
      <c r="AA4">
        <v>98</v>
      </c>
      <c r="AB4">
        <v>54</v>
      </c>
      <c r="AC4">
        <v>58</v>
      </c>
    </row>
    <row r="5" spans="1:29" ht="15" thickBot="1" x14ac:dyDescent="0.35">
      <c r="A5" s="3">
        <v>1004</v>
      </c>
      <c r="B5" s="4" t="s">
        <v>9</v>
      </c>
      <c r="C5" s="4">
        <v>74</v>
      </c>
      <c r="D5" s="4">
        <v>55</v>
      </c>
      <c r="E5" s="4">
        <v>46</v>
      </c>
      <c r="F5" s="5">
        <v>43641</v>
      </c>
      <c r="G5">
        <f t="shared" si="0"/>
        <v>175</v>
      </c>
      <c r="H5">
        <f t="shared" si="1"/>
        <v>58.333333333333336</v>
      </c>
      <c r="J5" t="str">
        <f t="shared" si="2"/>
        <v>Normal</v>
      </c>
      <c r="L5">
        <f t="shared" si="3"/>
        <v>82.9375</v>
      </c>
      <c r="Q5" t="str">
        <f t="shared" si="4"/>
        <v>Student</v>
      </c>
      <c r="R5" t="str">
        <f t="shared" si="5"/>
        <v>STUDENT 4</v>
      </c>
      <c r="S5" t="str">
        <v>student 4</v>
      </c>
      <c r="U5">
        <f ca="1">TODAY()-F5</f>
        <v>2452</v>
      </c>
      <c r="V5">
        <f>ROUND(AVERAGE(C5:E5),2)</f>
        <v>58.33</v>
      </c>
      <c r="W5">
        <f>CEILING(H5,10)</f>
        <v>60</v>
      </c>
      <c r="X5">
        <f>FLOOR(H5,10)</f>
        <v>50</v>
      </c>
      <c r="Y5">
        <v>1013</v>
      </c>
      <c r="Z5" t="str">
        <v>Student 13</v>
      </c>
      <c r="AA5">
        <v>98</v>
      </c>
      <c r="AB5">
        <v>90</v>
      </c>
      <c r="AC5">
        <v>97</v>
      </c>
    </row>
    <row r="6" spans="1:29" ht="15" thickBot="1" x14ac:dyDescent="0.35">
      <c r="A6" s="3">
        <v>1005</v>
      </c>
      <c r="B6" s="4" t="s">
        <v>10</v>
      </c>
      <c r="C6" s="4">
        <v>68</v>
      </c>
      <c r="D6" s="4">
        <v>74</v>
      </c>
      <c r="E6" s="4">
        <v>84</v>
      </c>
      <c r="F6" s="5">
        <v>43821</v>
      </c>
      <c r="G6">
        <f t="shared" si="0"/>
        <v>226</v>
      </c>
      <c r="H6">
        <f t="shared" si="1"/>
        <v>75.333333333333329</v>
      </c>
      <c r="J6" t="str">
        <f t="shared" si="2"/>
        <v>Normal</v>
      </c>
      <c r="L6">
        <f t="shared" si="3"/>
        <v>83.533333333333331</v>
      </c>
      <c r="Q6" t="str">
        <f t="shared" si="4"/>
        <v>Student</v>
      </c>
      <c r="R6" t="str">
        <f t="shared" si="5"/>
        <v>STUDENT 5</v>
      </c>
      <c r="S6" t="str">
        <v>student 5</v>
      </c>
      <c r="U6">
        <f ca="1">TODAY()-F6</f>
        <v>2272</v>
      </c>
      <c r="V6">
        <f>ROUND(AVERAGE(C6:E6),2)</f>
        <v>75.33</v>
      </c>
      <c r="W6">
        <f>CEILING(H6,10)</f>
        <v>80</v>
      </c>
      <c r="X6">
        <f>FLOOR(H6,10)</f>
        <v>70</v>
      </c>
      <c r="Y6">
        <v>1014</v>
      </c>
      <c r="Z6" t="str">
        <v>Student 14</v>
      </c>
      <c r="AA6">
        <v>93</v>
      </c>
      <c r="AB6">
        <v>40</v>
      </c>
      <c r="AC6">
        <v>44</v>
      </c>
    </row>
    <row r="7" spans="1:29" ht="15" thickBot="1" x14ac:dyDescent="0.35">
      <c r="A7" s="3">
        <v>1006</v>
      </c>
      <c r="B7" s="4" t="s">
        <v>11</v>
      </c>
      <c r="C7" s="4">
        <v>80</v>
      </c>
      <c r="D7" s="4">
        <v>70</v>
      </c>
      <c r="E7" s="4">
        <v>65</v>
      </c>
      <c r="F7" s="5">
        <v>44001</v>
      </c>
      <c r="G7">
        <f t="shared" si="0"/>
        <v>215</v>
      </c>
      <c r="H7">
        <f t="shared" si="1"/>
        <v>71.666666666666671</v>
      </c>
      <c r="J7" t="str">
        <f t="shared" si="2"/>
        <v>Normal</v>
      </c>
      <c r="L7">
        <f t="shared" si="3"/>
        <v>84.642857142857139</v>
      </c>
      <c r="Q7" t="str">
        <f t="shared" si="4"/>
        <v>Student</v>
      </c>
      <c r="R7" t="str">
        <f t="shared" si="5"/>
        <v>STUDENT 6</v>
      </c>
      <c r="S7" t="str">
        <v>student 6</v>
      </c>
      <c r="U7">
        <f ca="1">TODAY()-F7</f>
        <v>2092</v>
      </c>
      <c r="V7">
        <f>ROUND(AVERAGE(C7:E7),2)</f>
        <v>71.67</v>
      </c>
      <c r="W7">
        <f>CEILING(H7,10)</f>
        <v>80</v>
      </c>
      <c r="X7">
        <f>FLOOR(H7,10)</f>
        <v>70</v>
      </c>
      <c r="Y7">
        <v>1016</v>
      </c>
      <c r="Z7" t="str">
        <v>Student 16</v>
      </c>
      <c r="AA7">
        <v>98</v>
      </c>
      <c r="AB7">
        <v>77</v>
      </c>
      <c r="AC7">
        <v>60</v>
      </c>
    </row>
    <row r="8" spans="1:29" ht="15" thickBot="1" x14ac:dyDescent="0.35">
      <c r="A8" s="3">
        <v>1007</v>
      </c>
      <c r="B8" s="4" t="s">
        <v>12</v>
      </c>
      <c r="C8" s="4">
        <v>75</v>
      </c>
      <c r="D8" s="4">
        <v>47</v>
      </c>
      <c r="E8" s="4">
        <v>78</v>
      </c>
      <c r="F8" s="5">
        <v>44181</v>
      </c>
      <c r="G8">
        <f t="shared" si="0"/>
        <v>200</v>
      </c>
      <c r="H8">
        <f t="shared" si="1"/>
        <v>66.666666666666657</v>
      </c>
      <c r="J8" t="str">
        <f t="shared" si="2"/>
        <v>Normal</v>
      </c>
      <c r="L8">
        <f t="shared" si="3"/>
        <v>85</v>
      </c>
      <c r="Q8" t="str">
        <f t="shared" si="4"/>
        <v>Student</v>
      </c>
      <c r="R8" t="str">
        <f t="shared" si="5"/>
        <v>STUDENT 7</v>
      </c>
      <c r="S8" t="str">
        <v>student 7</v>
      </c>
      <c r="U8">
        <f ca="1">TODAY()-F8</f>
        <v>1912</v>
      </c>
      <c r="V8">
        <f>ROUND(AVERAGE(C8:E8),2)</f>
        <v>66.67</v>
      </c>
      <c r="W8">
        <f>CEILING(H8,10)</f>
        <v>70</v>
      </c>
      <c r="X8">
        <f>FLOOR(H8,10)</f>
        <v>60</v>
      </c>
    </row>
    <row r="9" spans="1:29" ht="15" thickBot="1" x14ac:dyDescent="0.35">
      <c r="A9" s="3">
        <v>1008</v>
      </c>
      <c r="B9" s="4" t="s">
        <v>13</v>
      </c>
      <c r="C9" s="4">
        <v>94</v>
      </c>
      <c r="D9" s="4">
        <v>67</v>
      </c>
      <c r="E9" s="4">
        <v>64</v>
      </c>
      <c r="F9" s="5">
        <v>44361</v>
      </c>
      <c r="G9">
        <f t="shared" si="0"/>
        <v>225</v>
      </c>
      <c r="H9">
        <f t="shared" si="1"/>
        <v>75</v>
      </c>
      <c r="J9" t="str">
        <f t="shared" si="2"/>
        <v>Normal</v>
      </c>
      <c r="L9">
        <f t="shared" si="3"/>
        <v>85.833333333333329</v>
      </c>
      <c r="Q9" t="str">
        <f t="shared" si="4"/>
        <v>Student</v>
      </c>
      <c r="R9" t="str">
        <f t="shared" si="5"/>
        <v>STUDENT 8</v>
      </c>
      <c r="S9" t="str">
        <v>student 8</v>
      </c>
      <c r="U9">
        <f ca="1">TODAY()-F9</f>
        <v>1732</v>
      </c>
      <c r="V9">
        <f>ROUND(AVERAGE(C9:E9),2)</f>
        <v>75</v>
      </c>
      <c r="W9">
        <f>CEILING(H9,10)</f>
        <v>80</v>
      </c>
      <c r="X9">
        <f>FLOOR(H9,10)</f>
        <v>70</v>
      </c>
    </row>
    <row r="10" spans="1:29" ht="15" thickBot="1" x14ac:dyDescent="0.35">
      <c r="A10" s="3">
        <v>1009</v>
      </c>
      <c r="B10" s="4" t="s">
        <v>14</v>
      </c>
      <c r="C10" s="4">
        <v>41</v>
      </c>
      <c r="D10" s="4">
        <v>75</v>
      </c>
      <c r="E10" s="4">
        <v>56</v>
      </c>
      <c r="F10" s="5">
        <v>44541</v>
      </c>
      <c r="G10">
        <f t="shared" si="0"/>
        <v>172</v>
      </c>
      <c r="H10">
        <f t="shared" si="1"/>
        <v>57.333333333333336</v>
      </c>
      <c r="J10" t="str">
        <f t="shared" si="2"/>
        <v>Normal</v>
      </c>
      <c r="L10">
        <f t="shared" si="3"/>
        <v>85.090909090909093</v>
      </c>
      <c r="Q10" t="str">
        <f t="shared" si="4"/>
        <v>Student</v>
      </c>
      <c r="R10" t="str">
        <f t="shared" si="5"/>
        <v>STUDENT 9</v>
      </c>
      <c r="S10" t="str">
        <v>student 9</v>
      </c>
      <c r="U10">
        <f ca="1">TODAY()-F10</f>
        <v>1552</v>
      </c>
      <c r="V10">
        <f>ROUND(AVERAGE(C10:E10),2)</f>
        <v>57.33</v>
      </c>
      <c r="W10">
        <f>CEILING(H10,10)</f>
        <v>60</v>
      </c>
      <c r="X10">
        <f>FLOOR(H10,10)</f>
        <v>50</v>
      </c>
    </row>
    <row r="11" spans="1:29" ht="29.4" thickBot="1" x14ac:dyDescent="0.35">
      <c r="A11" s="3">
        <v>1010</v>
      </c>
      <c r="B11" s="4" t="s">
        <v>15</v>
      </c>
      <c r="C11" s="4">
        <v>98</v>
      </c>
      <c r="D11" s="4">
        <v>54</v>
      </c>
      <c r="E11" s="4">
        <v>58</v>
      </c>
      <c r="F11" s="5">
        <v>44721</v>
      </c>
      <c r="G11">
        <f t="shared" si="0"/>
        <v>210</v>
      </c>
      <c r="H11">
        <f t="shared" si="1"/>
        <v>70</v>
      </c>
      <c r="J11" t="str">
        <f t="shared" si="2"/>
        <v>Normal</v>
      </c>
      <c r="L11">
        <f t="shared" si="3"/>
        <v>85.090909090909093</v>
      </c>
      <c r="Q11" t="str">
        <f t="shared" si="4"/>
        <v>Student</v>
      </c>
      <c r="R11" t="str">
        <f t="shared" si="5"/>
        <v>STUDENT 10</v>
      </c>
      <c r="S11" t="str">
        <v>student 10</v>
      </c>
      <c r="U11">
        <f ca="1">TODAY()-F11</f>
        <v>1372</v>
      </c>
      <c r="V11">
        <f>ROUND(AVERAGE(C11:E11),2)</f>
        <v>70</v>
      </c>
      <c r="W11">
        <f>CEILING(H11,10)</f>
        <v>70</v>
      </c>
      <c r="X11">
        <f>FLOOR(H11,10)</f>
        <v>70</v>
      </c>
    </row>
    <row r="12" spans="1:29" ht="29.4" thickBot="1" x14ac:dyDescent="0.35">
      <c r="A12" s="3">
        <v>1011</v>
      </c>
      <c r="B12" s="4" t="s">
        <v>16</v>
      </c>
      <c r="C12" s="4">
        <v>73</v>
      </c>
      <c r="D12" s="4">
        <v>79</v>
      </c>
      <c r="E12" s="4">
        <v>53</v>
      </c>
      <c r="F12" s="5">
        <v>44901</v>
      </c>
      <c r="G12">
        <f t="shared" si="0"/>
        <v>205</v>
      </c>
      <c r="H12">
        <f t="shared" si="1"/>
        <v>68.333333333333329</v>
      </c>
      <c r="J12" t="str">
        <f t="shared" si="2"/>
        <v>Normal</v>
      </c>
      <c r="L12">
        <f t="shared" si="3"/>
        <v>83.8</v>
      </c>
      <c r="Q12" t="str">
        <f t="shared" si="4"/>
        <v>Student</v>
      </c>
      <c r="R12" t="str">
        <f t="shared" si="5"/>
        <v>STUDENT 11</v>
      </c>
      <c r="S12" t="str">
        <v>student 11</v>
      </c>
      <c r="U12">
        <f ca="1">TODAY()-F12</f>
        <v>1192</v>
      </c>
      <c r="V12">
        <f>ROUND(AVERAGE(C12:E12),2)</f>
        <v>68.33</v>
      </c>
      <c r="W12">
        <f>CEILING(H12,10)</f>
        <v>70</v>
      </c>
      <c r="X12">
        <f>FLOOR(H12,10)</f>
        <v>60</v>
      </c>
    </row>
    <row r="13" spans="1:29" ht="29.4" thickBot="1" x14ac:dyDescent="0.35">
      <c r="A13" s="3">
        <v>1012</v>
      </c>
      <c r="B13" s="4" t="s">
        <v>17</v>
      </c>
      <c r="C13" s="4">
        <v>85</v>
      </c>
      <c r="D13" s="4">
        <v>89</v>
      </c>
      <c r="E13" s="4">
        <v>79</v>
      </c>
      <c r="F13" s="5">
        <v>45081</v>
      </c>
      <c r="G13">
        <f t="shared" si="0"/>
        <v>253</v>
      </c>
      <c r="H13">
        <f t="shared" si="1"/>
        <v>84.333333333333343</v>
      </c>
      <c r="J13" t="str">
        <f t="shared" si="2"/>
        <v>Top Student</v>
      </c>
      <c r="L13">
        <f t="shared" si="3"/>
        <v>85</v>
      </c>
      <c r="Q13" t="str">
        <f t="shared" si="4"/>
        <v>Student</v>
      </c>
      <c r="R13" t="str">
        <f t="shared" si="5"/>
        <v>STUDENT 12</v>
      </c>
      <c r="S13" t="str">
        <v>student 12</v>
      </c>
      <c r="U13">
        <f ca="1">TODAY()-F13</f>
        <v>1012</v>
      </c>
      <c r="V13">
        <f>ROUND(AVERAGE(C13:E13),2)</f>
        <v>84.33</v>
      </c>
      <c r="W13">
        <f>CEILING(H13,10)</f>
        <v>90</v>
      </c>
      <c r="X13">
        <f>FLOOR(H13,10)</f>
        <v>80</v>
      </c>
    </row>
    <row r="14" spans="1:29" ht="29.4" thickBot="1" x14ac:dyDescent="0.35">
      <c r="A14" s="3">
        <v>1013</v>
      </c>
      <c r="B14" s="4" t="s">
        <v>18</v>
      </c>
      <c r="C14" s="4">
        <v>98</v>
      </c>
      <c r="D14" s="4">
        <v>90</v>
      </c>
      <c r="E14" s="4">
        <v>97</v>
      </c>
      <c r="F14" s="5">
        <v>45261</v>
      </c>
      <c r="G14">
        <f t="shared" si="0"/>
        <v>285</v>
      </c>
      <c r="H14">
        <f t="shared" si="1"/>
        <v>95</v>
      </c>
      <c r="J14" t="str">
        <f t="shared" si="2"/>
        <v>Top Student</v>
      </c>
      <c r="L14">
        <f t="shared" si="3"/>
        <v>85</v>
      </c>
      <c r="Q14" t="str">
        <f t="shared" si="4"/>
        <v>Student</v>
      </c>
      <c r="R14" t="str">
        <f t="shared" si="5"/>
        <v>STUDENT 13</v>
      </c>
      <c r="S14" t="str">
        <v>student 13</v>
      </c>
      <c r="U14">
        <f ca="1">TODAY()-F14</f>
        <v>832</v>
      </c>
      <c r="V14">
        <f>ROUND(AVERAGE(C14:E14),2)</f>
        <v>95</v>
      </c>
      <c r="W14">
        <f>CEILING(H14,10)</f>
        <v>100</v>
      </c>
      <c r="X14">
        <f>FLOOR(H14,10)</f>
        <v>90</v>
      </c>
    </row>
    <row r="15" spans="1:29" ht="29.4" thickBot="1" x14ac:dyDescent="0.35">
      <c r="A15" s="3">
        <v>1014</v>
      </c>
      <c r="B15" s="4" t="s">
        <v>19</v>
      </c>
      <c r="C15" s="4">
        <v>93</v>
      </c>
      <c r="D15" s="4">
        <v>40</v>
      </c>
      <c r="E15" s="4">
        <v>44</v>
      </c>
      <c r="F15" s="5">
        <v>45441</v>
      </c>
      <c r="G15">
        <f t="shared" si="0"/>
        <v>177</v>
      </c>
      <c r="H15">
        <f t="shared" si="1"/>
        <v>59</v>
      </c>
      <c r="J15" t="str">
        <f t="shared" si="2"/>
        <v>Normal</v>
      </c>
      <c r="L15">
        <f t="shared" si="3"/>
        <v>83.142857142857139</v>
      </c>
      <c r="Q15" t="str">
        <f t="shared" si="4"/>
        <v>Student</v>
      </c>
      <c r="R15" t="str">
        <f t="shared" si="5"/>
        <v>STUDENT 14</v>
      </c>
      <c r="S15" t="str">
        <v>student 14</v>
      </c>
      <c r="U15">
        <f ca="1">TODAY()-F15</f>
        <v>652</v>
      </c>
      <c r="V15">
        <f>ROUND(AVERAGE(C15:E15),2)</f>
        <v>59</v>
      </c>
      <c r="W15">
        <f>CEILING(H15,10)</f>
        <v>60</v>
      </c>
      <c r="X15">
        <f>FLOOR(H15,10)</f>
        <v>50</v>
      </c>
    </row>
    <row r="16" spans="1:29" ht="29.4" thickBot="1" x14ac:dyDescent="0.35">
      <c r="A16" s="3">
        <v>1015</v>
      </c>
      <c r="B16" s="4" t="s">
        <v>20</v>
      </c>
      <c r="C16" s="4">
        <v>70</v>
      </c>
      <c r="D16" s="4">
        <v>51</v>
      </c>
      <c r="E16" s="4">
        <v>75</v>
      </c>
      <c r="F16" s="5">
        <v>45621</v>
      </c>
      <c r="G16">
        <f t="shared" si="0"/>
        <v>196</v>
      </c>
      <c r="H16">
        <f t="shared" si="1"/>
        <v>65.333333333333329</v>
      </c>
      <c r="J16" t="str">
        <f t="shared" si="2"/>
        <v>Normal</v>
      </c>
      <c r="L16">
        <f t="shared" si="3"/>
        <v>81.5</v>
      </c>
      <c r="Q16" t="str">
        <f t="shared" si="4"/>
        <v>Student</v>
      </c>
      <c r="R16" t="str">
        <f t="shared" si="5"/>
        <v>STUDENT 15</v>
      </c>
      <c r="S16" t="str">
        <v>student 15</v>
      </c>
      <c r="U16">
        <f ca="1">TODAY()-F16</f>
        <v>472</v>
      </c>
      <c r="V16">
        <f>ROUND(AVERAGE(C16:E16),2)</f>
        <v>65.33</v>
      </c>
      <c r="W16">
        <f>CEILING(H16,10)</f>
        <v>70</v>
      </c>
      <c r="X16">
        <f>FLOOR(H16,10)</f>
        <v>60</v>
      </c>
    </row>
    <row r="17" spans="1:24" ht="29.4" thickBot="1" x14ac:dyDescent="0.35">
      <c r="A17" s="3">
        <v>1016</v>
      </c>
      <c r="B17" s="4" t="s">
        <v>21</v>
      </c>
      <c r="C17" s="4">
        <v>98</v>
      </c>
      <c r="D17" s="4">
        <v>77</v>
      </c>
      <c r="E17" s="4">
        <v>60</v>
      </c>
      <c r="F17" s="5">
        <v>45801</v>
      </c>
      <c r="G17">
        <f t="shared" si="0"/>
        <v>235</v>
      </c>
      <c r="H17">
        <f t="shared" si="1"/>
        <v>78.333333333333329</v>
      </c>
      <c r="J17" t="str">
        <f t="shared" si="2"/>
        <v>Normal</v>
      </c>
      <c r="L17">
        <f t="shared" si="3"/>
        <v>83.8</v>
      </c>
      <c r="Q17" t="str">
        <f t="shared" si="4"/>
        <v>Student</v>
      </c>
      <c r="R17" t="str">
        <f t="shared" si="5"/>
        <v>STUDENT 16</v>
      </c>
      <c r="S17" t="str">
        <v>student 16</v>
      </c>
      <c r="U17">
        <f ca="1">TODAY()-F17</f>
        <v>292</v>
      </c>
      <c r="V17">
        <f>ROUND(AVERAGE(C17:E17),2)</f>
        <v>78.33</v>
      </c>
      <c r="W17">
        <f>CEILING(H17,10)</f>
        <v>80</v>
      </c>
      <c r="X17">
        <f>FLOOR(H17,10)</f>
        <v>70</v>
      </c>
    </row>
    <row r="18" spans="1:24" ht="29.4" thickBot="1" x14ac:dyDescent="0.35">
      <c r="A18" s="3">
        <v>1017</v>
      </c>
      <c r="B18" s="4" t="s">
        <v>22</v>
      </c>
      <c r="C18" s="4">
        <v>66</v>
      </c>
      <c r="D18" s="4">
        <v>59</v>
      </c>
      <c r="E18" s="4">
        <v>40</v>
      </c>
      <c r="F18" s="5">
        <v>45981</v>
      </c>
      <c r="G18">
        <f t="shared" si="0"/>
        <v>165</v>
      </c>
      <c r="H18">
        <f t="shared" si="1"/>
        <v>55.000000000000007</v>
      </c>
      <c r="J18" t="str">
        <f t="shared" si="2"/>
        <v>Normal</v>
      </c>
      <c r="L18">
        <f t="shared" si="3"/>
        <v>80.25</v>
      </c>
      <c r="Q18" t="str">
        <f t="shared" si="4"/>
        <v>Student</v>
      </c>
      <c r="R18" t="str">
        <f t="shared" si="5"/>
        <v>STUDENT 17</v>
      </c>
      <c r="S18" t="str">
        <v>student 17</v>
      </c>
      <c r="U18">
        <f ca="1">TODAY()-F18</f>
        <v>112</v>
      </c>
      <c r="V18">
        <f>ROUND(AVERAGE(C18:E18),2)</f>
        <v>55</v>
      </c>
      <c r="W18">
        <f>CEILING(H18,10)</f>
        <v>60</v>
      </c>
      <c r="X18">
        <f>FLOOR(H18,10)</f>
        <v>50</v>
      </c>
    </row>
    <row r="19" spans="1:24" ht="29.4" thickBot="1" x14ac:dyDescent="0.35">
      <c r="A19" s="3">
        <v>1018</v>
      </c>
      <c r="B19" s="4" t="s">
        <v>23</v>
      </c>
      <c r="C19" s="4">
        <v>82</v>
      </c>
      <c r="D19" s="4">
        <v>48</v>
      </c>
      <c r="E19" s="4">
        <v>79</v>
      </c>
      <c r="F19" s="5">
        <v>46161</v>
      </c>
      <c r="G19">
        <f t="shared" si="0"/>
        <v>209</v>
      </c>
      <c r="H19">
        <f t="shared" si="1"/>
        <v>69.666666666666671</v>
      </c>
      <c r="J19" t="str">
        <f t="shared" si="2"/>
        <v>Normal</v>
      </c>
      <c r="L19">
        <f t="shared" si="3"/>
        <v>85</v>
      </c>
      <c r="Q19" t="str">
        <f t="shared" si="4"/>
        <v>Student</v>
      </c>
      <c r="R19" t="str">
        <f t="shared" si="5"/>
        <v>STUDENT 18</v>
      </c>
      <c r="S19" t="str">
        <v>student 18</v>
      </c>
      <c r="U19">
        <f ca="1">TODAY()-F19</f>
        <v>-68</v>
      </c>
      <c r="V19">
        <f>ROUND(AVERAGE(C19:E19),2)</f>
        <v>69.67</v>
      </c>
      <c r="W19">
        <f>CEILING(H19,10)</f>
        <v>70</v>
      </c>
      <c r="X19">
        <f>FLOOR(H19,10)</f>
        <v>60</v>
      </c>
    </row>
    <row r="20" spans="1:24" ht="29.4" thickBot="1" x14ac:dyDescent="0.35">
      <c r="A20" s="3">
        <v>1019</v>
      </c>
      <c r="B20" s="4" t="s">
        <v>24</v>
      </c>
      <c r="C20" s="4">
        <v>90</v>
      </c>
      <c r="D20" s="4">
        <v>78</v>
      </c>
      <c r="E20" s="4">
        <v>60</v>
      </c>
      <c r="F20" s="5">
        <v>46341</v>
      </c>
      <c r="G20">
        <f t="shared" si="0"/>
        <v>228</v>
      </c>
      <c r="H20">
        <f t="shared" si="1"/>
        <v>76</v>
      </c>
      <c r="J20" t="str">
        <f t="shared" si="2"/>
        <v>Normal</v>
      </c>
      <c r="L20">
        <f t="shared" si="3"/>
        <v>86.5</v>
      </c>
      <c r="Q20" t="str">
        <f t="shared" si="4"/>
        <v>Student</v>
      </c>
      <c r="R20" t="str">
        <f t="shared" si="5"/>
        <v>STUDENT 19</v>
      </c>
      <c r="S20" t="str">
        <v>student 19</v>
      </c>
      <c r="U20">
        <f ca="1">TODAY()-F20</f>
        <v>-248</v>
      </c>
      <c r="V20">
        <f>ROUND(AVERAGE(C20:E20),2)</f>
        <v>76</v>
      </c>
      <c r="W20">
        <f>CEILING(H20,10)</f>
        <v>80</v>
      </c>
      <c r="X20">
        <f>FLOOR(H20,10)</f>
        <v>70</v>
      </c>
    </row>
    <row r="21" spans="1:24" ht="29.4" thickBot="1" x14ac:dyDescent="0.35">
      <c r="A21" s="3">
        <v>1020</v>
      </c>
      <c r="B21" s="4" t="s">
        <v>25</v>
      </c>
      <c r="C21" s="4">
        <v>83</v>
      </c>
      <c r="D21" s="4">
        <v>92</v>
      </c>
      <c r="E21" s="4">
        <v>55</v>
      </c>
      <c r="F21" s="5">
        <v>46521</v>
      </c>
      <c r="G21">
        <f t="shared" si="0"/>
        <v>230</v>
      </c>
      <c r="H21">
        <f t="shared" si="1"/>
        <v>76.666666666666671</v>
      </c>
      <c r="J21" t="str">
        <f t="shared" si="2"/>
        <v>Top Student</v>
      </c>
      <c r="L21">
        <f t="shared" si="3"/>
        <v>83</v>
      </c>
      <c r="Q21" t="str">
        <f t="shared" si="4"/>
        <v>Student</v>
      </c>
      <c r="R21" t="str">
        <f t="shared" si="5"/>
        <v>STUDENT 20</v>
      </c>
      <c r="S21" t="str">
        <v>student 20</v>
      </c>
      <c r="U21">
        <f ca="1">TODAY()-F21</f>
        <v>-428</v>
      </c>
      <c r="V21">
        <f>ROUND(AVERAGE(C21:E21),2)</f>
        <v>76.67</v>
      </c>
      <c r="W21">
        <f>CEILING(H21,10)</f>
        <v>80</v>
      </c>
      <c r="X21">
        <f>FLOOR(H21,10)</f>
        <v>70</v>
      </c>
    </row>
    <row r="23" spans="1:24" x14ac:dyDescent="0.3">
      <c r="A23" t="s">
        <v>39</v>
      </c>
    </row>
  </sheetData>
  <mergeCells count="1">
    <mergeCell ref="Y1:A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37C95-993C-4714-8E8A-4696062D6B5C}">
  <dimension ref="A1:W21"/>
  <sheetViews>
    <sheetView tabSelected="1" topLeftCell="B1" zoomScale="73" zoomScaleNormal="70" workbookViewId="0">
      <selection activeCell="M13" sqref="M13"/>
    </sheetView>
  </sheetViews>
  <sheetFormatPr defaultRowHeight="14.4" x14ac:dyDescent="0.3"/>
  <cols>
    <col min="6" max="6" width="15.5546875" customWidth="1"/>
    <col min="9" max="9" width="10.6640625" customWidth="1"/>
    <col min="14" max="14" width="8.88671875" customWidth="1"/>
  </cols>
  <sheetData>
    <row r="1" spans="1:23" ht="29.4" thickBot="1" x14ac:dyDescent="0.35">
      <c r="A1" s="1" t="s">
        <v>46</v>
      </c>
      <c r="B1" s="2" t="s">
        <v>47</v>
      </c>
      <c r="C1" s="2" t="s">
        <v>48</v>
      </c>
      <c r="D1" s="2" t="s">
        <v>49</v>
      </c>
      <c r="E1" s="2" t="s">
        <v>50</v>
      </c>
      <c r="F1" s="2" t="s">
        <v>45</v>
      </c>
      <c r="G1" s="6" t="s">
        <v>80</v>
      </c>
      <c r="H1" s="6" t="s">
        <v>81</v>
      </c>
      <c r="I1" s="6" t="s">
        <v>82</v>
      </c>
      <c r="J1" s="6" t="s">
        <v>47</v>
      </c>
      <c r="K1" s="6" t="s">
        <v>48</v>
      </c>
      <c r="L1" s="6" t="s">
        <v>83</v>
      </c>
      <c r="M1" s="6" t="s">
        <v>84</v>
      </c>
      <c r="N1" s="8" t="s">
        <v>47</v>
      </c>
      <c r="O1" s="8" t="s">
        <v>85</v>
      </c>
      <c r="P1" s="10" t="s">
        <v>86</v>
      </c>
      <c r="Q1" s="10" t="s">
        <v>87</v>
      </c>
      <c r="R1" s="10" t="s">
        <v>89</v>
      </c>
      <c r="S1" s="10" t="s">
        <v>88</v>
      </c>
      <c r="T1" s="10" t="s">
        <v>47</v>
      </c>
      <c r="U1" s="10" t="s">
        <v>91</v>
      </c>
      <c r="V1" s="10" t="s">
        <v>90</v>
      </c>
      <c r="W1" s="10" t="s">
        <v>123</v>
      </c>
    </row>
    <row r="2" spans="1:23" ht="15" thickBot="1" x14ac:dyDescent="0.35">
      <c r="A2" s="3">
        <v>2001</v>
      </c>
      <c r="B2" s="4" t="s">
        <v>51</v>
      </c>
      <c r="C2" s="4" t="s">
        <v>52</v>
      </c>
      <c r="D2" s="4" t="s">
        <v>53</v>
      </c>
      <c r="E2" s="4">
        <v>7048</v>
      </c>
      <c r="F2" s="5">
        <v>44927</v>
      </c>
      <c r="G2">
        <f>IF(E2&gt;=40000,E2*20%,IF(E2&gt;=30000,E2*15%,IF(E2&gt;=20000,E2*10%,IF(E2&gt;=10000,E2*5%,0))))</f>
        <v>0</v>
      </c>
      <c r="H2">
        <f>E2-G2</f>
        <v>7048</v>
      </c>
      <c r="I2" t="str">
        <f>IF(OR(E2&gt;=30000,B2="Laptop"),"Eligible","Not Eligible")</f>
        <v>Not Eligible</v>
      </c>
      <c r="J2" t="s">
        <v>57</v>
      </c>
      <c r="K2" t="s">
        <v>55</v>
      </c>
      <c r="L2">
        <f>SUMIFS(E2:E21,B2:B21,J2,C2:C21,K2)</f>
        <v>30436</v>
      </c>
      <c r="M2">
        <v>2003</v>
      </c>
      <c r="N2" t="str">
        <f>IFERROR(VLOOKUP(M2,A2:B21:E2:E21,2,FALSE),"Not Found")</f>
        <v>Mouse</v>
      </c>
      <c r="O2" t="s">
        <v>124</v>
      </c>
      <c r="P2">
        <f>MONTH(F12)</f>
        <v>5</v>
      </c>
      <c r="Q2" t="e" cm="1">
        <f t="array" ref="Q2">INDEX(E2:E21,MATCH(1,(J1:J20=N2)*(D2:D21=O2)*(MONTH(F2:F21)=P2),0))</f>
        <v>#N/A</v>
      </c>
      <c r="R2" t="s">
        <v>67</v>
      </c>
      <c r="S2">
        <f>_xlfn.XLOOKUP(R2,D2:D21,E2:E21,"Not Found")</f>
        <v>35185</v>
      </c>
      <c r="T2" t="s">
        <v>57</v>
      </c>
      <c r="U2">
        <f>_xlfn.XMATCH(T2,B2:B21)</f>
        <v>3</v>
      </c>
      <c r="V2">
        <f ca="1">SUM(OFFSET(E2,0,0,10,1))</f>
        <v>249975</v>
      </c>
      <c r="W2" cm="1">
        <f t="array" ref="W2:W21">MONTH(F2:F21)</f>
        <v>1</v>
      </c>
    </row>
    <row r="3" spans="1:23" ht="15" thickBot="1" x14ac:dyDescent="0.35">
      <c r="A3" s="3">
        <v>2002</v>
      </c>
      <c r="B3" s="4" t="s">
        <v>54</v>
      </c>
      <c r="C3" s="4" t="s">
        <v>55</v>
      </c>
      <c r="D3" s="4" t="s">
        <v>56</v>
      </c>
      <c r="E3" s="4">
        <v>17428</v>
      </c>
      <c r="F3" s="5">
        <v>44942</v>
      </c>
      <c r="G3">
        <f t="shared" ref="G3:G21" si="0">IF(E3&gt;=40000,E3*20%,IF(E3&gt;=30000,E3*15%,IF(E3&gt;=20000,E3*10%,IF(E3&gt;=10000,E3*5%,0))))</f>
        <v>871.40000000000009</v>
      </c>
      <c r="H3">
        <f t="shared" ref="H3:H21" si="1">E3-G3</f>
        <v>16556.599999999999</v>
      </c>
      <c r="I3" t="str">
        <f t="shared" ref="I3:I21" si="2">IF(OR(E3&gt;=30000,B3="Laptop"),"Eligible","Not Eligible")</f>
        <v>Not Eligible</v>
      </c>
      <c r="S3" t="s">
        <v>38</v>
      </c>
      <c r="W3">
        <v>1</v>
      </c>
    </row>
    <row r="4" spans="1:23" ht="15" thickBot="1" x14ac:dyDescent="0.35">
      <c r="A4" s="3">
        <v>2003</v>
      </c>
      <c r="B4" s="4" t="s">
        <v>57</v>
      </c>
      <c r="C4" s="4" t="s">
        <v>52</v>
      </c>
      <c r="D4" s="4" t="s">
        <v>58</v>
      </c>
      <c r="E4" s="4">
        <v>23672</v>
      </c>
      <c r="F4" s="5">
        <v>44957</v>
      </c>
      <c r="G4">
        <f t="shared" si="0"/>
        <v>2367.2000000000003</v>
      </c>
      <c r="H4">
        <f t="shared" si="1"/>
        <v>21304.799999999999</v>
      </c>
      <c r="I4" t="str">
        <f t="shared" si="2"/>
        <v>Not Eligible</v>
      </c>
      <c r="W4">
        <v>1</v>
      </c>
    </row>
    <row r="5" spans="1:23" ht="15" thickBot="1" x14ac:dyDescent="0.35">
      <c r="A5" s="3">
        <v>2004</v>
      </c>
      <c r="B5" s="4" t="s">
        <v>54</v>
      </c>
      <c r="C5" s="4" t="s">
        <v>59</v>
      </c>
      <c r="D5" s="4" t="s">
        <v>60</v>
      </c>
      <c r="E5" s="4">
        <v>5264</v>
      </c>
      <c r="F5" s="5">
        <v>44972</v>
      </c>
      <c r="G5">
        <f t="shared" si="0"/>
        <v>0</v>
      </c>
      <c r="H5">
        <f t="shared" si="1"/>
        <v>5264</v>
      </c>
      <c r="I5" t="str">
        <f t="shared" si="2"/>
        <v>Not Eligible</v>
      </c>
      <c r="W5">
        <v>2</v>
      </c>
    </row>
    <row r="6" spans="1:23" ht="15" thickBot="1" x14ac:dyDescent="0.35">
      <c r="A6" s="3">
        <v>2005</v>
      </c>
      <c r="B6" s="4" t="s">
        <v>51</v>
      </c>
      <c r="C6" s="4" t="s">
        <v>61</v>
      </c>
      <c r="D6" s="4" t="s">
        <v>62</v>
      </c>
      <c r="E6" s="4">
        <v>43388</v>
      </c>
      <c r="F6" s="5">
        <v>44987</v>
      </c>
      <c r="G6">
        <f t="shared" si="0"/>
        <v>8677.6</v>
      </c>
      <c r="H6">
        <f t="shared" si="1"/>
        <v>34710.400000000001</v>
      </c>
      <c r="I6" t="str">
        <f t="shared" si="2"/>
        <v>Eligible</v>
      </c>
      <c r="W6">
        <v>3</v>
      </c>
    </row>
    <row r="7" spans="1:23" ht="15" thickBot="1" x14ac:dyDescent="0.35">
      <c r="A7" s="3">
        <v>2006</v>
      </c>
      <c r="B7" s="4" t="s">
        <v>57</v>
      </c>
      <c r="C7" s="4" t="s">
        <v>61</v>
      </c>
      <c r="D7" s="4" t="s">
        <v>63</v>
      </c>
      <c r="E7" s="4">
        <v>19757</v>
      </c>
      <c r="F7" s="5">
        <v>45002</v>
      </c>
      <c r="G7">
        <f t="shared" si="0"/>
        <v>987.85</v>
      </c>
      <c r="H7">
        <f t="shared" si="1"/>
        <v>18769.150000000001</v>
      </c>
      <c r="I7" t="str">
        <f t="shared" si="2"/>
        <v>Not Eligible</v>
      </c>
      <c r="W7">
        <v>3</v>
      </c>
    </row>
    <row r="8" spans="1:23" ht="15" thickBot="1" x14ac:dyDescent="0.35">
      <c r="A8" s="3">
        <v>2007</v>
      </c>
      <c r="B8" s="4" t="s">
        <v>57</v>
      </c>
      <c r="C8" s="4" t="s">
        <v>59</v>
      </c>
      <c r="D8" s="4" t="s">
        <v>64</v>
      </c>
      <c r="E8" s="4">
        <v>32058</v>
      </c>
      <c r="F8" s="5">
        <v>45017</v>
      </c>
      <c r="G8">
        <f t="shared" si="0"/>
        <v>4808.7</v>
      </c>
      <c r="H8">
        <f t="shared" si="1"/>
        <v>27249.3</v>
      </c>
      <c r="I8" t="str">
        <f t="shared" si="2"/>
        <v>Eligible</v>
      </c>
      <c r="W8">
        <v>4</v>
      </c>
    </row>
    <row r="9" spans="1:23" ht="15" thickBot="1" x14ac:dyDescent="0.35">
      <c r="A9" s="3">
        <v>2008</v>
      </c>
      <c r="B9" s="4" t="s">
        <v>51</v>
      </c>
      <c r="C9" s="4" t="s">
        <v>59</v>
      </c>
      <c r="D9" s="4" t="s">
        <v>65</v>
      </c>
      <c r="E9" s="4">
        <v>46429</v>
      </c>
      <c r="F9" s="5">
        <v>45032</v>
      </c>
      <c r="G9">
        <f t="shared" si="0"/>
        <v>9285.8000000000011</v>
      </c>
      <c r="H9">
        <f t="shared" si="1"/>
        <v>37143.199999999997</v>
      </c>
      <c r="I9" t="str">
        <f t="shared" si="2"/>
        <v>Eligible</v>
      </c>
      <c r="W9">
        <v>4</v>
      </c>
    </row>
    <row r="10" spans="1:23" ht="15" thickBot="1" x14ac:dyDescent="0.35">
      <c r="A10" s="3">
        <v>2009</v>
      </c>
      <c r="B10" s="4" t="s">
        <v>54</v>
      </c>
      <c r="C10" s="4" t="s">
        <v>59</v>
      </c>
      <c r="D10" s="4" t="s">
        <v>66</v>
      </c>
      <c r="E10" s="4">
        <v>19746</v>
      </c>
      <c r="F10" s="5">
        <v>45047</v>
      </c>
      <c r="G10">
        <f t="shared" si="0"/>
        <v>987.30000000000007</v>
      </c>
      <c r="H10">
        <f t="shared" si="1"/>
        <v>18758.7</v>
      </c>
      <c r="I10" t="str">
        <f t="shared" si="2"/>
        <v>Not Eligible</v>
      </c>
      <c r="W10">
        <v>5</v>
      </c>
    </row>
    <row r="11" spans="1:23" ht="29.4" thickBot="1" x14ac:dyDescent="0.35">
      <c r="A11" s="3">
        <v>2010</v>
      </c>
      <c r="B11" s="4" t="s">
        <v>51</v>
      </c>
      <c r="C11" s="4" t="s">
        <v>52</v>
      </c>
      <c r="D11" s="4" t="s">
        <v>67</v>
      </c>
      <c r="E11" s="4">
        <v>35185</v>
      </c>
      <c r="F11" s="5">
        <v>45062</v>
      </c>
      <c r="G11">
        <f t="shared" si="0"/>
        <v>5277.75</v>
      </c>
      <c r="H11">
        <f t="shared" si="1"/>
        <v>29907.25</v>
      </c>
      <c r="I11" t="str">
        <f t="shared" si="2"/>
        <v>Eligible</v>
      </c>
      <c r="W11">
        <v>5</v>
      </c>
    </row>
    <row r="12" spans="1:23" ht="29.4" thickBot="1" x14ac:dyDescent="0.35">
      <c r="A12" s="3">
        <v>2011</v>
      </c>
      <c r="B12" s="4" t="s">
        <v>51</v>
      </c>
      <c r="C12" s="4" t="s">
        <v>59</v>
      </c>
      <c r="D12" s="4" t="s">
        <v>68</v>
      </c>
      <c r="E12" s="4">
        <v>33920</v>
      </c>
      <c r="F12" s="5">
        <v>45077</v>
      </c>
      <c r="G12">
        <f t="shared" si="0"/>
        <v>5088</v>
      </c>
      <c r="H12">
        <f t="shared" si="1"/>
        <v>28832</v>
      </c>
      <c r="I12" t="str">
        <f t="shared" si="2"/>
        <v>Eligible</v>
      </c>
      <c r="W12">
        <v>5</v>
      </c>
    </row>
    <row r="13" spans="1:23" ht="29.4" thickBot="1" x14ac:dyDescent="0.35">
      <c r="A13" s="3">
        <v>2012</v>
      </c>
      <c r="B13" s="4" t="s">
        <v>69</v>
      </c>
      <c r="C13" s="4" t="s">
        <v>61</v>
      </c>
      <c r="D13" s="4" t="s">
        <v>70</v>
      </c>
      <c r="E13" s="4">
        <v>35611</v>
      </c>
      <c r="F13" s="5">
        <v>45092</v>
      </c>
      <c r="G13">
        <f t="shared" si="0"/>
        <v>5341.65</v>
      </c>
      <c r="H13">
        <f t="shared" si="1"/>
        <v>30269.35</v>
      </c>
      <c r="I13" t="str">
        <f t="shared" si="2"/>
        <v>Eligible</v>
      </c>
      <c r="W13">
        <v>6</v>
      </c>
    </row>
    <row r="14" spans="1:23" ht="29.4" thickBot="1" x14ac:dyDescent="0.35">
      <c r="A14" s="3">
        <v>2013</v>
      </c>
      <c r="B14" s="4" t="s">
        <v>71</v>
      </c>
      <c r="C14" s="4" t="s">
        <v>59</v>
      </c>
      <c r="D14" s="4" t="s">
        <v>72</v>
      </c>
      <c r="E14" s="4">
        <v>15560</v>
      </c>
      <c r="F14" s="5">
        <v>45107</v>
      </c>
      <c r="G14">
        <f t="shared" si="0"/>
        <v>778</v>
      </c>
      <c r="H14">
        <f t="shared" si="1"/>
        <v>14782</v>
      </c>
      <c r="I14" t="str">
        <f t="shared" si="2"/>
        <v>Eligible</v>
      </c>
      <c r="W14">
        <v>6</v>
      </c>
    </row>
    <row r="15" spans="1:23" ht="29.4" thickBot="1" x14ac:dyDescent="0.35">
      <c r="A15" s="3">
        <v>2014</v>
      </c>
      <c r="B15" s="4" t="s">
        <v>71</v>
      </c>
      <c r="C15" s="4" t="s">
        <v>52</v>
      </c>
      <c r="D15" s="4" t="s">
        <v>73</v>
      </c>
      <c r="E15" s="4">
        <v>7283</v>
      </c>
      <c r="F15" s="5">
        <v>45122</v>
      </c>
      <c r="G15">
        <f t="shared" si="0"/>
        <v>0</v>
      </c>
      <c r="H15">
        <f t="shared" si="1"/>
        <v>7283</v>
      </c>
      <c r="I15" t="str">
        <f t="shared" si="2"/>
        <v>Eligible</v>
      </c>
      <c r="W15">
        <v>7</v>
      </c>
    </row>
    <row r="16" spans="1:23" ht="29.4" thickBot="1" x14ac:dyDescent="0.35">
      <c r="A16" s="3">
        <v>2015</v>
      </c>
      <c r="B16" s="4" t="s">
        <v>71</v>
      </c>
      <c r="C16" s="4" t="s">
        <v>59</v>
      </c>
      <c r="D16" s="4" t="s">
        <v>74</v>
      </c>
      <c r="E16" s="4">
        <v>15678</v>
      </c>
      <c r="F16" s="5">
        <v>45137</v>
      </c>
      <c r="G16">
        <f t="shared" si="0"/>
        <v>783.90000000000009</v>
      </c>
      <c r="H16">
        <f t="shared" si="1"/>
        <v>14894.1</v>
      </c>
      <c r="I16" t="str">
        <f t="shared" si="2"/>
        <v>Eligible</v>
      </c>
      <c r="W16">
        <v>7</v>
      </c>
    </row>
    <row r="17" spans="1:23" ht="29.4" thickBot="1" x14ac:dyDescent="0.35">
      <c r="A17" s="3">
        <v>2016</v>
      </c>
      <c r="B17" s="4" t="s">
        <v>57</v>
      </c>
      <c r="C17" s="4" t="s">
        <v>59</v>
      </c>
      <c r="D17" s="4" t="s">
        <v>75</v>
      </c>
      <c r="E17" s="4">
        <v>5277</v>
      </c>
      <c r="F17" s="5">
        <v>45152</v>
      </c>
      <c r="G17">
        <f t="shared" si="0"/>
        <v>0</v>
      </c>
      <c r="H17">
        <f t="shared" si="1"/>
        <v>5277</v>
      </c>
      <c r="I17" t="str">
        <f t="shared" si="2"/>
        <v>Not Eligible</v>
      </c>
      <c r="W17">
        <v>8</v>
      </c>
    </row>
    <row r="18" spans="1:23" ht="29.4" thickBot="1" x14ac:dyDescent="0.35">
      <c r="A18" s="3">
        <v>2017</v>
      </c>
      <c r="B18" s="4" t="s">
        <v>69</v>
      </c>
      <c r="C18" s="4" t="s">
        <v>61</v>
      </c>
      <c r="D18" s="4" t="s">
        <v>76</v>
      </c>
      <c r="E18" s="4">
        <v>41871</v>
      </c>
      <c r="F18" s="5">
        <v>45167</v>
      </c>
      <c r="G18">
        <f t="shared" si="0"/>
        <v>8374.2000000000007</v>
      </c>
      <c r="H18">
        <f t="shared" si="1"/>
        <v>33496.800000000003</v>
      </c>
      <c r="I18" t="str">
        <f t="shared" si="2"/>
        <v>Eligible</v>
      </c>
      <c r="W18">
        <v>8</v>
      </c>
    </row>
    <row r="19" spans="1:23" ht="29.4" thickBot="1" x14ac:dyDescent="0.35">
      <c r="A19" s="3">
        <v>2018</v>
      </c>
      <c r="B19" s="4" t="s">
        <v>69</v>
      </c>
      <c r="C19" s="4" t="s">
        <v>55</v>
      </c>
      <c r="D19" s="4" t="s">
        <v>77</v>
      </c>
      <c r="E19" s="4">
        <v>38161</v>
      </c>
      <c r="F19" s="5">
        <v>45182</v>
      </c>
      <c r="G19">
        <f t="shared" si="0"/>
        <v>5724.15</v>
      </c>
      <c r="H19">
        <f t="shared" si="1"/>
        <v>32436.85</v>
      </c>
      <c r="I19" t="str">
        <f t="shared" si="2"/>
        <v>Eligible</v>
      </c>
      <c r="W19">
        <v>9</v>
      </c>
    </row>
    <row r="20" spans="1:23" ht="29.4" thickBot="1" x14ac:dyDescent="0.35">
      <c r="A20" s="3">
        <v>2019</v>
      </c>
      <c r="B20" s="4" t="s">
        <v>57</v>
      </c>
      <c r="C20" s="4" t="s">
        <v>55</v>
      </c>
      <c r="D20" s="4" t="s">
        <v>78</v>
      </c>
      <c r="E20" s="4">
        <v>30436</v>
      </c>
      <c r="F20" s="5">
        <v>45197</v>
      </c>
      <c r="G20">
        <f t="shared" si="0"/>
        <v>4565.3999999999996</v>
      </c>
      <c r="H20">
        <f t="shared" si="1"/>
        <v>25870.6</v>
      </c>
      <c r="I20" t="str">
        <f t="shared" si="2"/>
        <v>Eligible</v>
      </c>
      <c r="W20">
        <v>9</v>
      </c>
    </row>
    <row r="21" spans="1:23" ht="29.4" thickBot="1" x14ac:dyDescent="0.35">
      <c r="A21" s="3">
        <v>2020</v>
      </c>
      <c r="B21" s="4" t="s">
        <v>54</v>
      </c>
      <c r="C21" s="4" t="s">
        <v>55</v>
      </c>
      <c r="D21" s="4" t="s">
        <v>79</v>
      </c>
      <c r="E21" s="4">
        <v>33953</v>
      </c>
      <c r="F21" s="5">
        <v>45212</v>
      </c>
      <c r="G21">
        <f t="shared" si="0"/>
        <v>5092.95</v>
      </c>
      <c r="H21">
        <f t="shared" si="1"/>
        <v>28860.05</v>
      </c>
      <c r="I21" t="str">
        <f t="shared" si="2"/>
        <v>Eligible</v>
      </c>
      <c r="W21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CFA4B-AE58-4AF8-8D5C-DF67A21A697F}">
  <dimension ref="A1:I21"/>
  <sheetViews>
    <sheetView topLeftCell="A7" workbookViewId="0">
      <selection activeCell="G4" sqref="C4:G19"/>
    </sheetView>
  </sheetViews>
  <sheetFormatPr defaultRowHeight="14.4" x14ac:dyDescent="0.3"/>
  <cols>
    <col min="5" max="5" width="18.33203125" customWidth="1"/>
  </cols>
  <sheetData>
    <row r="1" spans="1:9" ht="29.4" thickBot="1" x14ac:dyDescent="0.35">
      <c r="A1" s="1" t="s">
        <v>92</v>
      </c>
      <c r="B1" s="2" t="s">
        <v>1</v>
      </c>
      <c r="C1" s="2" t="s">
        <v>93</v>
      </c>
      <c r="D1" s="2" t="s">
        <v>94</v>
      </c>
      <c r="E1" s="11" t="s">
        <v>95</v>
      </c>
      <c r="F1" s="13" t="s">
        <v>120</v>
      </c>
      <c r="G1" s="13" t="s">
        <v>94</v>
      </c>
      <c r="H1" s="13" t="s">
        <v>121</v>
      </c>
      <c r="I1" s="13" t="s">
        <v>122</v>
      </c>
    </row>
    <row r="2" spans="1:9" ht="29.4" thickBot="1" x14ac:dyDescent="0.35">
      <c r="A2" s="3">
        <v>3001</v>
      </c>
      <c r="B2" s="4" t="s">
        <v>96</v>
      </c>
      <c r="C2" s="4" t="s">
        <v>97</v>
      </c>
      <c r="D2" s="4">
        <v>86766</v>
      </c>
      <c r="E2" s="12">
        <v>42005</v>
      </c>
      <c r="F2" s="14">
        <v>3002</v>
      </c>
      <c r="G2" s="15">
        <f>_xlfn.XLOOKUP(F2,A2:A21,D2:D21,"Not Found")</f>
        <v>31943</v>
      </c>
      <c r="H2" s="14">
        <v>3006</v>
      </c>
      <c r="I2" s="15" t="str">
        <f>IFERROR(INDEX(C2:C21,MATCH($H$2,A2:A21,0)),"Not Found")</f>
        <v>IT</v>
      </c>
    </row>
    <row r="3" spans="1:9" ht="29.4" thickBot="1" x14ac:dyDescent="0.35">
      <c r="A3" s="3">
        <v>3002</v>
      </c>
      <c r="B3" s="4" t="s">
        <v>98</v>
      </c>
      <c r="C3" s="4" t="s">
        <v>97</v>
      </c>
      <c r="D3" s="4">
        <v>31943</v>
      </c>
      <c r="E3" s="5">
        <v>42255</v>
      </c>
    </row>
    <row r="4" spans="1:9" ht="29.4" thickBot="1" x14ac:dyDescent="0.35">
      <c r="A4" s="3">
        <v>3003</v>
      </c>
      <c r="B4" s="4" t="s">
        <v>99</v>
      </c>
      <c r="C4" s="4" t="s">
        <v>100</v>
      </c>
      <c r="D4" s="4">
        <v>63374</v>
      </c>
      <c r="E4" s="5">
        <v>42505</v>
      </c>
    </row>
    <row r="5" spans="1:9" ht="29.4" thickBot="1" x14ac:dyDescent="0.35">
      <c r="A5" s="3">
        <v>3004</v>
      </c>
      <c r="B5" s="4" t="s">
        <v>101</v>
      </c>
      <c r="C5" s="4" t="s">
        <v>97</v>
      </c>
      <c r="D5" s="4">
        <v>109972</v>
      </c>
      <c r="E5" s="5">
        <v>42755</v>
      </c>
    </row>
    <row r="6" spans="1:9" ht="29.4" thickBot="1" x14ac:dyDescent="0.35">
      <c r="A6" s="3">
        <v>3005</v>
      </c>
      <c r="B6" s="4" t="s">
        <v>102</v>
      </c>
      <c r="C6" s="4" t="s">
        <v>103</v>
      </c>
      <c r="D6" s="4">
        <v>54149</v>
      </c>
      <c r="E6" s="5">
        <v>43005</v>
      </c>
    </row>
    <row r="7" spans="1:9" ht="29.4" thickBot="1" x14ac:dyDescent="0.35">
      <c r="A7" s="3">
        <v>3006</v>
      </c>
      <c r="B7" s="4" t="s">
        <v>104</v>
      </c>
      <c r="C7" s="4" t="s">
        <v>103</v>
      </c>
      <c r="D7" s="4">
        <v>78689</v>
      </c>
      <c r="E7" s="5">
        <v>43255</v>
      </c>
    </row>
    <row r="8" spans="1:9" ht="29.4" thickBot="1" x14ac:dyDescent="0.35">
      <c r="A8" s="3">
        <v>3007</v>
      </c>
      <c r="B8" s="4" t="s">
        <v>105</v>
      </c>
      <c r="C8" s="4" t="s">
        <v>106</v>
      </c>
      <c r="D8" s="4">
        <v>35960</v>
      </c>
      <c r="E8" s="5">
        <v>43505</v>
      </c>
    </row>
    <row r="9" spans="1:9" ht="29.4" thickBot="1" x14ac:dyDescent="0.35">
      <c r="A9" s="3">
        <v>3008</v>
      </c>
      <c r="B9" s="4" t="s">
        <v>107</v>
      </c>
      <c r="C9" s="4" t="s">
        <v>103</v>
      </c>
      <c r="D9" s="4">
        <v>91659</v>
      </c>
      <c r="E9" s="5">
        <v>43755</v>
      </c>
    </row>
    <row r="10" spans="1:9" ht="29.4" thickBot="1" x14ac:dyDescent="0.35">
      <c r="A10" s="3">
        <v>3009</v>
      </c>
      <c r="B10" s="4" t="s">
        <v>108</v>
      </c>
      <c r="C10" s="4" t="s">
        <v>103</v>
      </c>
      <c r="D10" s="4">
        <v>90423</v>
      </c>
      <c r="E10" s="5">
        <v>44005</v>
      </c>
    </row>
    <row r="11" spans="1:9" ht="29.4" thickBot="1" x14ac:dyDescent="0.35">
      <c r="A11" s="3">
        <v>3010</v>
      </c>
      <c r="B11" s="4" t="s">
        <v>109</v>
      </c>
      <c r="C11" s="4" t="s">
        <v>100</v>
      </c>
      <c r="D11" s="4">
        <v>107877</v>
      </c>
      <c r="E11" s="5">
        <v>44255</v>
      </c>
    </row>
    <row r="12" spans="1:9" ht="29.4" thickBot="1" x14ac:dyDescent="0.35">
      <c r="A12" s="3">
        <v>3011</v>
      </c>
      <c r="B12" s="4" t="s">
        <v>110</v>
      </c>
      <c r="C12" s="4" t="s">
        <v>97</v>
      </c>
      <c r="D12" s="4">
        <v>107634</v>
      </c>
      <c r="E12" s="5">
        <v>44505</v>
      </c>
    </row>
    <row r="13" spans="1:9" ht="29.4" thickBot="1" x14ac:dyDescent="0.35">
      <c r="A13" s="3">
        <v>3012</v>
      </c>
      <c r="B13" s="4" t="s">
        <v>111</v>
      </c>
      <c r="C13" s="4" t="s">
        <v>97</v>
      </c>
      <c r="D13" s="4">
        <v>35226</v>
      </c>
      <c r="E13" s="5">
        <v>44755</v>
      </c>
    </row>
    <row r="14" spans="1:9" ht="29.4" thickBot="1" x14ac:dyDescent="0.35">
      <c r="A14" s="3">
        <v>3013</v>
      </c>
      <c r="B14" s="4" t="s">
        <v>112</v>
      </c>
      <c r="C14" s="4" t="s">
        <v>100</v>
      </c>
      <c r="D14" s="4">
        <v>40872</v>
      </c>
      <c r="E14" s="5">
        <v>45005</v>
      </c>
    </row>
    <row r="15" spans="1:9" ht="29.4" thickBot="1" x14ac:dyDescent="0.35">
      <c r="A15" s="3">
        <v>3014</v>
      </c>
      <c r="B15" s="4" t="s">
        <v>113</v>
      </c>
      <c r="C15" s="4" t="s">
        <v>100</v>
      </c>
      <c r="D15" s="4">
        <v>55378</v>
      </c>
      <c r="E15" s="5">
        <v>45255</v>
      </c>
    </row>
    <row r="16" spans="1:9" ht="29.4" thickBot="1" x14ac:dyDescent="0.35">
      <c r="A16" s="3">
        <v>3015</v>
      </c>
      <c r="B16" s="4" t="s">
        <v>114</v>
      </c>
      <c r="C16" s="4" t="s">
        <v>100</v>
      </c>
      <c r="D16" s="4">
        <v>63297</v>
      </c>
      <c r="E16" s="5">
        <v>45505</v>
      </c>
    </row>
    <row r="17" spans="1:5" ht="29.4" thickBot="1" x14ac:dyDescent="0.35">
      <c r="A17" s="3">
        <v>3016</v>
      </c>
      <c r="B17" s="4" t="s">
        <v>115</v>
      </c>
      <c r="C17" s="4" t="s">
        <v>97</v>
      </c>
      <c r="D17" s="4">
        <v>114173</v>
      </c>
      <c r="E17" s="5">
        <v>45755</v>
      </c>
    </row>
    <row r="18" spans="1:5" ht="29.4" thickBot="1" x14ac:dyDescent="0.35">
      <c r="A18" s="3">
        <v>3017</v>
      </c>
      <c r="B18" s="4" t="s">
        <v>116</v>
      </c>
      <c r="C18" s="4" t="s">
        <v>100</v>
      </c>
      <c r="D18" s="4">
        <v>86915</v>
      </c>
      <c r="E18" s="5">
        <v>46005</v>
      </c>
    </row>
    <row r="19" spans="1:5" ht="29.4" thickBot="1" x14ac:dyDescent="0.35">
      <c r="A19" s="3">
        <v>3018</v>
      </c>
      <c r="B19" s="4" t="s">
        <v>117</v>
      </c>
      <c r="C19" s="4" t="s">
        <v>103</v>
      </c>
      <c r="D19" s="4">
        <v>116284</v>
      </c>
      <c r="E19" s="5">
        <v>46255</v>
      </c>
    </row>
    <row r="20" spans="1:5" ht="29.4" thickBot="1" x14ac:dyDescent="0.35">
      <c r="A20" s="3">
        <v>3019</v>
      </c>
      <c r="B20" s="4" t="s">
        <v>118</v>
      </c>
      <c r="C20" s="4" t="s">
        <v>106</v>
      </c>
      <c r="D20" s="4">
        <v>116283</v>
      </c>
      <c r="E20" s="5">
        <v>46505</v>
      </c>
    </row>
    <row r="21" spans="1:5" ht="29.4" thickBot="1" x14ac:dyDescent="0.35">
      <c r="A21" s="3">
        <v>3020</v>
      </c>
      <c r="B21" s="4" t="s">
        <v>119</v>
      </c>
      <c r="C21" s="4" t="s">
        <v>106</v>
      </c>
      <c r="D21" s="4">
        <v>99924</v>
      </c>
      <c r="E21" s="5">
        <v>46755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Student</vt:lpstr>
      <vt:lpstr>sales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Darshil Kotadiya</dc:creator>
  <cp:lastModifiedBy>Darshil Kotadiya</cp:lastModifiedBy>
  <dcterms:created xsi:type="dcterms:W3CDTF">2026-03-12T04:03:14Z</dcterms:created>
  <dcterms:modified xsi:type="dcterms:W3CDTF">2026-03-12T06:17:07Z</dcterms:modified>
</cp:coreProperties>
</file>