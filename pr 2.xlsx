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Excel\"/>
    </mc:Choice>
  </mc:AlternateContent>
  <xr:revisionPtr revIDLastSave="0" documentId="13_ncr:1_{56FC7399-9604-415A-B2B6-F34FE4E0F699}" xr6:coauthVersionLast="47" xr6:coauthVersionMax="47" xr10:uidLastSave="{00000000-0000-0000-0000-000000000000}"/>
  <bookViews>
    <workbookView xWindow="-108" yWindow="-108" windowWidth="23256" windowHeight="13176" activeTab="2" xr2:uid="{A0A734AA-269D-4F55-93BE-B07054E7E13E}"/>
  </bookViews>
  <sheets>
    <sheet name="Descriptive Statistics" sheetId="2" r:id="rId1"/>
    <sheet name="Pivot table" sheetId="3" r:id="rId2"/>
    <sheet name="Data" sheetId="1" r:id="rId3"/>
    <sheet name="Dashbord" sheetId="4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K5" i="4"/>
  <c r="G5" i="4"/>
  <c r="C5" i="4"/>
  <c r="M2" i="1" a="1"/>
  <c r="M2" i="1" s="1"/>
  <c r="S2" i="1" a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S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<sst xmlns="http://schemas.openxmlformats.org/spreadsheetml/2006/main" count="874" uniqueCount="128">
  <si>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</si>
  <si>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</si>
  <si>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</si>
  <si>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</si>
  <si>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</si>
  <si>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</si>
  <si>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</si>
  <si>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</si>
  <si>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</si>
  <si>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</si>
  <si>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</si>
  <si>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</si>
  <si>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</si>
  <si>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</si>
  <si>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</si>
  <si>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</si>
  <si>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</si>
  <si>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</si>
  <si>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</si>
  <si>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</si>
  <si>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</si>
  <si>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</si>
  <si>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</si>
  <si>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</si>
  <si>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</si>
  <si>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</si>
  <si>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</si>
  <si>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</si>
  <si>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</si>
  <si>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</si>
  <si>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</si>
  <si>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</si>
  <si>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</si>
  <si>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</si>
  <si>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</si>
  <si>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</si>
  <si>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</si>
  <si>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</si>
  <si>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</si>
  <si>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</si>
  <si>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</si>
  <si>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</si>
  <si>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</si>
  <si>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</si>
  <si>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</si>
  <si>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</si>
  <si>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</si>
  <si>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</si>
  <si>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</si>
  <si>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</si>
  <si>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</si>
  <si>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</si>
  <si>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</si>
  <si>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</si>
  <si>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</si>
  <si>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</si>
  <si>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</si>
  <si>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</si>
  <si>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</si>
  <si>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</si>
  <si>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</si>
  <si>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</si>
  <si>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</si>
  <si>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</si>
  <si>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</si>
  <si>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</si>
  <si>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</si>
  <si>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</si>
  <si>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</si>
  <si>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</si>
  <si>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</si>
  <si>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</si>
  <si>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</si>
  <si>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</si>
  <si>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</si>
  <si>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</si>
  <si>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parchase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</si>
  <si>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</si>
  <si>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</si>
  <si>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</si>
  <si>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</si>
  <si>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</si>
  <si>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</si>
  <si>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</si>
  <si>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</si>
  <si>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</si>
  <si>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</si>
  <si>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</si>
  <si>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</si>
  <si>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</si>
  <si>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</si>
  <si>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</si>
  <si>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</si>
  <si>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</si>
  <si>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</si>
  <si>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</si>
  <si>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</si>
  <si>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</si>
  <si>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</si>
  <si>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</si>
  <si>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</si>
  <si>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</si>
  <si>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Growth 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</si>
  <si>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</si>
  <si>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</si>
  <si>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</si>
  <si>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</si>
  <si>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</si>
  <si>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</si>
  <si>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</si>
  <si>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</si>
  <si>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</si>
  <si>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</si>
  <si>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</si>
  <si>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</si>
  <si>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</si>
  <si>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Timestamp</t>
  </si>
  <si>
    <t>High value</t>
  </si>
  <si>
    <t>Row Labels</t>
  </si>
  <si>
    <t>Grand Total</t>
  </si>
  <si>
    <t>Column Labels</t>
  </si>
  <si>
    <t>Sum of Sales</t>
  </si>
  <si>
    <t>Sales Data Analysis Dashboard</t>
  </si>
  <si>
    <t>month</t>
  </si>
  <si>
    <t>Total sales</t>
  </si>
  <si>
    <t>Total profit</t>
  </si>
  <si>
    <t>Top customer</t>
  </si>
  <si>
    <t>Best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</si>
</sst>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\▲\ 0%;[Red]\▼\ \-0%;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43468.33</c:v>
              </c:pt>
              <c:pt idx="1">
                <c:v>32441.64</c:v>
              </c:pt>
              <c:pt idx="2">
                <c:v>34975.42</c:v>
              </c:pt>
              <c:pt idx="3">
                <c:v>40248.79</c:v>
              </c:pt>
              <c:pt idx="4">
                <c:v>44083.58</c:v>
              </c:pt>
            </c:numLit>
          </c:val>
          <c:extLst>
            <c:ext xmlns:c16="http://schemas.microsoft.com/office/drawing/2014/chart" uri="{C3380CC4-5D6E-409C-BE32-E72D297353CC}">
              <c16:uniqueId val="{00000000-B8DB-43DF-98E7-BE0222090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224479"/>
        <c:axId val="856235039"/>
      </c:barChart>
      <c:catAx>
        <c:axId val="85622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35039"/>
        <c:crosses val="autoZero"/>
        <c:auto val="1"/>
        <c:lblAlgn val="ctr"/>
        <c:lblOffset val="100"/>
        <c:noMultiLvlLbl val="0"/>
      </c:catAx>
      <c:valAx>
        <c:axId val="85623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2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14914.650000000001</c:v>
              </c:pt>
              <c:pt idx="1">
                <c:v>14006.359999999999</c:v>
              </c:pt>
              <c:pt idx="2">
                <c:v>17655.219999999998</c:v>
              </c:pt>
              <c:pt idx="3">
                <c:v>22242.129999999997</c:v>
              </c:pt>
              <c:pt idx="4">
                <c:v>18507.339999999997</c:v>
              </c:pt>
              <c:pt idx="5">
                <c:v>20187.509999999998</c:v>
              </c:pt>
              <c:pt idx="6">
                <c:v>11609.039999999999</c:v>
              </c:pt>
              <c:pt idx="7">
                <c:v>10091.699999999999</c:v>
              </c:pt>
              <c:pt idx="8">
                <c:v>20533.499999999996</c:v>
              </c:pt>
              <c:pt idx="9">
                <c:v>14215.240000000002</c:v>
              </c:pt>
              <c:pt idx="10">
                <c:v>20135.030000000002</c:v>
              </c:pt>
              <c:pt idx="11">
                <c:v>11120.04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4B8-4CCF-8FF4-864B846A2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224959"/>
        <c:axId val="856223999"/>
      </c:lineChart>
      <c:catAx>
        <c:axId val="85622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23999"/>
        <c:crosses val="autoZero"/>
        <c:auto val="1"/>
        <c:lblAlgn val="ctr"/>
        <c:lblOffset val="100"/>
        <c:noMultiLvlLbl val="0"/>
      </c:catAx>
      <c:valAx>
        <c:axId val="8562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2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58-4087-AFFD-67671AF9AF44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58-4087-AFFD-67671AF9AF4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58-4087-AFFD-67671AF9AF44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58-4087-AFFD-67671AF9AF44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58-4087-AFFD-67671AF9AF44}"/>
              </c:ext>
            </c:extLst>
          </c:dPt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47002.460000000006</c:v>
              </c:pt>
              <c:pt idx="1">
                <c:v>41927.589999999989</c:v>
              </c:pt>
              <c:pt idx="2">
                <c:v>41044.000000000007</c:v>
              </c:pt>
              <c:pt idx="3">
                <c:v>36612.89</c:v>
              </c:pt>
              <c:pt idx="4">
                <c:v>28630.819999999992</c:v>
              </c:pt>
            </c:numLit>
          </c:val>
          <c:extLst>
            <c:ext xmlns:c16="http://schemas.microsoft.com/office/drawing/2014/chart" uri="{C3380CC4-5D6E-409C-BE32-E72D297353CC}">
              <c16:uniqueId val="{0000000A-3A58-4087-AFFD-67671AF9A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411480</xdr:colOff>
      <xdr:row>13</xdr:row>
      <xdr:rowOff>15240</xdr:rowOff>
    </xdr:from>
    <xdr:to>
      <xdr:col>23</xdr:col>
      <xdr:colOff>22860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AC0BE-FE57-45B8-808F-EDB7F9464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114300</xdr:rowOff>
    </xdr:from>
    <xdr:to>
      <xdr:col>8</xdr:col>
      <xdr:colOff>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F0E69B-8AAB-4F96-95AB-649047836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60960</xdr:colOff>
      <xdr:row>12</xdr:row>
      <xdr:rowOff>129540</xdr:rowOff>
    </xdr:from>
    <xdr:to>
      <xdr:col>15</xdr:col>
      <xdr:colOff>365760</xdr:colOff>
      <xdr:row>27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242E38-7A5E-4D48-982C-A1EB1C28B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3.537309722225" createdVersion="8" refreshedVersion="8" minRefreshableVersion="3" recordCount="200" xr:uid="{4BEFDAC6-0BA2-4538-9419-436E2E20143D}">
  <cacheSource type="worksheet">
    <worksheetSource ref="A1:L201" sheet="Data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Total parchase" numFmtId="0">
      <sharedItems containsSemiMixedTypes="0" containsString="0" containsNumber="1" minValue="247.536" maxValue="1538.9280000000001"/>
    </cacheField>
    <cacheField name="profit Result " numFmtId="0">
      <sharedItems containsNonDate="0" containsString="0" containsBlank="1"/>
    </cacheField>
    <cacheField name="Growth " numFmtId="164">
      <sharedItems containsSemiMixedTypes="0" containsString="0" containsNumber="1" minValue="-1" maxValue="3.6941317550578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  <n v="828.87199999999996"/>
    <m/>
    <n v="6.2919244467179544E-2"/>
  </r>
  <r>
    <s v="CUST012"/>
    <s v="Robert Anderson"/>
    <x v="0"/>
    <x v="1"/>
    <n v="1101.28"/>
    <n v="3"/>
    <n v="0.2"/>
    <d v="2024-04-11T00:00:00"/>
    <n v="440.51"/>
    <n v="881.024"/>
    <m/>
    <n v="-0.35226282144413767"/>
  </r>
  <r>
    <s v="CUST017"/>
    <s v="James Taylor"/>
    <x v="1"/>
    <x v="0"/>
    <n v="713.34"/>
    <n v="17"/>
    <n v="0"/>
    <d v="2024-04-14T00:00:00"/>
    <n v="285.33999999999997"/>
    <n v="713.34"/>
    <m/>
    <n v="6.6714329772618833E-2"/>
  </r>
  <r>
    <s v="CUST005"/>
    <s v="Robert Anderson"/>
    <x v="2"/>
    <x v="2"/>
    <n v="760.93"/>
    <n v="4"/>
    <n v="0.15"/>
    <d v="2024-04-14T00:00:00"/>
    <n v="161.69999999999999"/>
    <n v="646.79049999999995"/>
    <m/>
    <n v="0.1131115871367932"/>
  </r>
  <r>
    <s v="CUST030"/>
    <s v="James Wilson"/>
    <x v="3"/>
    <x v="0"/>
    <n v="847"/>
    <n v="12"/>
    <n v="0.2"/>
    <d v="2024-04-15T00:00:00"/>
    <n v="271.04000000000002"/>
    <n v="677.6"/>
    <m/>
    <n v="0.14007083825265643"/>
  </r>
  <r>
    <s v="CUST007"/>
    <s v="Michael Anderson"/>
    <x v="3"/>
    <x v="3"/>
    <n v="965.64"/>
    <n v="8"/>
    <n v="0.1"/>
    <d v="2024-04-16T00:00:00"/>
    <n v="304.18"/>
    <n v="869.07600000000002"/>
    <m/>
    <n v="0.36441116772296095"/>
  </r>
  <r>
    <s v="CUST001"/>
    <s v="Linda Wilson"/>
    <x v="0"/>
    <x v="2"/>
    <n v="1317.53"/>
    <n v="12"/>
    <n v="0.05"/>
    <d v="2024-04-16T00:00:00"/>
    <n v="312.91000000000003"/>
    <n v="1251.6534999999999"/>
    <m/>
    <n v="-0.18448156778213776"/>
  </r>
  <r>
    <s v="CUST026"/>
    <s v="Mary Davis"/>
    <x v="1"/>
    <x v="3"/>
    <n v="1074.47"/>
    <n v="6"/>
    <n v="0.2"/>
    <d v="2024-04-19T00:00:00"/>
    <n v="300.85000000000002"/>
    <n v="859.57600000000002"/>
    <m/>
    <n v="-0.53322102990311504"/>
  </r>
  <r>
    <s v="CUST009"/>
    <s v="Linda Jackson"/>
    <x v="4"/>
    <x v="0"/>
    <n v="501.54"/>
    <n v="11"/>
    <n v="0.05"/>
    <d v="2024-04-19T00:00:00"/>
    <n v="190.59"/>
    <n v="476.46300000000002"/>
    <m/>
    <n v="0.47009211628185171"/>
  </r>
  <r>
    <s v="CUST010"/>
    <s v="David Thomas"/>
    <x v="4"/>
    <x v="1"/>
    <n v="737.31"/>
    <n v="2"/>
    <n v="0.05"/>
    <d v="2024-04-19T00:00:00"/>
    <n v="350.22"/>
    <n v="700.44449999999995"/>
    <m/>
    <n v="1.1331868549185553"/>
  </r>
  <r>
    <s v="CUST014"/>
    <s v="Emma Davis"/>
    <x v="0"/>
    <x v="4"/>
    <n v="1572.82"/>
    <n v="6"/>
    <n v="0.05"/>
    <d v="2024-04-20T00:00:00"/>
    <n v="672.38"/>
    <n v="1494.1789999999999"/>
    <m/>
    <n v="-0.14603705446268475"/>
  </r>
  <r>
    <s v="CUST014"/>
    <s v="David Thomas"/>
    <x v="4"/>
    <x v="0"/>
    <n v="1343.13"/>
    <n v="14"/>
    <n v="0.15"/>
    <d v="2024-04-22T00:00:00"/>
    <n v="456.66"/>
    <n v="1141.6605000000002"/>
    <m/>
    <n v="-0.11283345618071235"/>
  </r>
  <r>
    <s v="CUST007"/>
    <s v="Michael Anderson"/>
    <x v="4"/>
    <x v="0"/>
    <n v="1191.58"/>
    <n v="14"/>
    <n v="0.05"/>
    <d v="2024-04-24T00:00:00"/>
    <n v="452.8"/>
    <n v="1132.001"/>
    <m/>
    <n v="-0.30992463787576158"/>
  </r>
  <r>
    <s v="CUST023"/>
    <s v="Robert Anderson"/>
    <x v="0"/>
    <x v="3"/>
    <n v="822.28"/>
    <n v="7"/>
    <n v="0.05"/>
    <d v="2024-04-24T00:00:00"/>
    <n v="273.41000000000003"/>
    <n v="781.16599999999994"/>
    <m/>
    <n v="-0.36558106727635359"/>
  </r>
  <r>
    <s v="CUST029"/>
    <s v="David Smith"/>
    <x v="3"/>
    <x v="3"/>
    <n v="521.66999999999996"/>
    <n v="15"/>
    <n v="0.15"/>
    <d v="2024-04-27T00:00:00"/>
    <n v="155.19999999999999"/>
    <n v="443.41949999999997"/>
    <m/>
    <n v="1.8809975655107638"/>
  </r>
  <r>
    <s v="CUST005"/>
    <s v="Sarah Anderson"/>
    <x v="2"/>
    <x v="2"/>
    <n v="1502.93"/>
    <n v="14"/>
    <n v="0.2"/>
    <d v="2024-04-28T00:00:00"/>
    <n v="300.58999999999997"/>
    <n v="1202.3440000000001"/>
    <m/>
    <n v="-0.41608724291883187"/>
  </r>
  <r>
    <s v="CUST008"/>
    <s v="Robert Anderson"/>
    <x v="2"/>
    <x v="0"/>
    <n v="877.58"/>
    <n v="10"/>
    <n v="0.15"/>
    <d v="2024-04-29T00:00:00"/>
    <n v="298.38"/>
    <n v="745.94299999999998"/>
    <m/>
    <n v="-0.27448209849814259"/>
  </r>
  <r>
    <s v="CUST001"/>
    <s v="Lisa Thomas"/>
    <x v="0"/>
    <x v="0"/>
    <n v="636.70000000000005"/>
    <n v="4"/>
    <n v="0.2"/>
    <d v="2024-04-29T00:00:00"/>
    <n v="203.74"/>
    <n v="509.36"/>
    <m/>
    <n v="1.3655410711481075"/>
  </r>
  <r>
    <s v="CUST006"/>
    <s v="Mary Jackson"/>
    <x v="0"/>
    <x v="0"/>
    <n v="1506.14"/>
    <n v="13"/>
    <n v="0.2"/>
    <d v="2024-04-30T00:00:00"/>
    <n v="481.96"/>
    <n v="1204.912"/>
    <m/>
    <n v="-0.57173967891431077"/>
  </r>
  <r>
    <s v="CUST026"/>
    <s v="Mary Davis"/>
    <x v="4"/>
    <x v="2"/>
    <n v="645.02"/>
    <n v="4"/>
    <n v="0"/>
    <d v="2024-05-02T00:00:00"/>
    <n v="161.26"/>
    <n v="645.02"/>
    <m/>
    <n v="0.47793866856841644"/>
  </r>
  <r>
    <s v="CUST007"/>
    <s v="Lisa Davis"/>
    <x v="2"/>
    <x v="1"/>
    <n v="953.3"/>
    <n v="11"/>
    <n v="0"/>
    <d v="2024-05-03T00:00:00"/>
    <n v="476.65"/>
    <n v="953.3"/>
    <m/>
    <n v="-0.5924053288576524"/>
  </r>
  <r>
    <s v="CUST022"/>
    <s v="Robert Anderson"/>
    <x v="3"/>
    <x v="2"/>
    <n v="388.56"/>
    <n v="14"/>
    <n v="0.15"/>
    <d v="2024-05-04T00:00:00"/>
    <n v="82.57"/>
    <n v="330.27600000000001"/>
    <m/>
    <n v="0.9126261066501955"/>
  </r>
  <r>
    <s v="CUST019"/>
    <s v="Mary Davis"/>
    <x v="0"/>
    <x v="0"/>
    <n v="743.17"/>
    <n v="9"/>
    <n v="0"/>
    <d v="2024-05-04T00:00:00"/>
    <n v="297.27"/>
    <n v="743.17"/>
    <m/>
    <n v="-4.95176070078178E-2"/>
  </r>
  <r>
    <s v="CUST023"/>
    <s v="Mary Davis"/>
    <x v="4"/>
    <x v="2"/>
    <n v="706.37"/>
    <n v="6"/>
    <n v="0"/>
    <d v="2024-05-04T00:00:00"/>
    <n v="176.59"/>
    <n v="706.37"/>
    <m/>
    <n v="0.3099508756034372"/>
  </r>
  <r>
    <s v="CUST012"/>
    <s v="Mary Davis"/>
    <x v="4"/>
    <x v="4"/>
    <n v="925.31"/>
    <n v="8"/>
    <n v="0.1"/>
    <d v="2024-05-06T00:00:00"/>
    <n v="374.75"/>
    <n v="832.779"/>
    <m/>
    <n v="0.26781294917379034"/>
  </r>
  <r>
    <s v="CUST010"/>
    <s v="Linda Brown"/>
    <x v="2"/>
    <x v="2"/>
    <n v="1173.1199999999999"/>
    <n v="18"/>
    <n v="0"/>
    <d v="2024-05-06T00:00:00"/>
    <n v="293.27999999999997"/>
    <n v="1173.1199999999999"/>
    <m/>
    <n v="-0.42415098199672663"/>
  </r>
  <r>
    <s v="CUST030"/>
    <s v="John Brown"/>
    <x v="3"/>
    <x v="3"/>
    <n v="675.54"/>
    <n v="17"/>
    <n v="0"/>
    <d v="2024-05-08T00:00:00"/>
    <n v="236.44"/>
    <n v="675.54"/>
    <m/>
    <n v="0.3901323385735857"/>
  </r>
  <r>
    <s v="CUST007"/>
    <s v="Robert Anderson"/>
    <x v="4"/>
    <x v="0"/>
    <n v="939.09"/>
    <n v="2"/>
    <n v="0.05"/>
    <d v="2024-05-10T00:00:00"/>
    <n v="356.85"/>
    <n v="892.13549999999998"/>
    <m/>
    <n v="4.7120084336964504E-2"/>
  </r>
  <r>
    <s v="CUST028"/>
    <s v="Linda Taylor"/>
    <x v="1"/>
    <x v="4"/>
    <n v="983.34"/>
    <n v="19"/>
    <n v="0.1"/>
    <d v="2024-05-14T00:00:00"/>
    <n v="398.25"/>
    <n v="885.00600000000009"/>
    <m/>
    <n v="-0.18521569345292574"/>
  </r>
  <r>
    <s v="CUST028"/>
    <s v="James Wilson"/>
    <x v="2"/>
    <x v="2"/>
    <n v="801.21"/>
    <n v="3"/>
    <n v="0.2"/>
    <d v="2024-05-14T00:00:00"/>
    <n v="160.24"/>
    <n v="640.96800000000007"/>
    <m/>
    <n v="0.81064889354850789"/>
  </r>
  <r>
    <s v="CUST025"/>
    <s v="David Brown"/>
    <x v="3"/>
    <x v="2"/>
    <n v="1450.71"/>
    <n v="5"/>
    <n v="0.1"/>
    <d v="2024-05-15T00:00:00"/>
    <n v="326.41000000000003"/>
    <n v="1305.6390000000001"/>
    <m/>
    <n v="-0.29468329300825113"/>
  </r>
  <r>
    <s v="CUST022"/>
    <s v="David Davis"/>
    <x v="4"/>
    <x v="0"/>
    <n v="1023.21"/>
    <n v="18"/>
    <n v="0.05"/>
    <d v="2024-05-16T00:00:00"/>
    <n v="388.82"/>
    <n v="972.04950000000008"/>
    <m/>
    <n v="-0.16564537094047166"/>
  </r>
  <r>
    <s v="CUST001"/>
    <s v="Mary Jackson"/>
    <x v="0"/>
    <x v="3"/>
    <n v="853.72"/>
    <n v="5"/>
    <n v="0.15"/>
    <d v="2024-05-16T00:00:00"/>
    <n v="253.98"/>
    <n v="725.66200000000003"/>
    <m/>
    <n v="0.13373237126926857"/>
  </r>
  <r>
    <s v="CUST021"/>
    <s v="Sarah Anderson"/>
    <x v="2"/>
    <x v="2"/>
    <n v="967.89"/>
    <n v="10"/>
    <n v="0.1"/>
    <d v="2024-05-17T00:00:00"/>
    <n v="217.78"/>
    <n v="871.101"/>
    <m/>
    <n v="0.24074016675448667"/>
  </r>
  <r>
    <s v="CUST015"/>
    <s v="Linda Taylor"/>
    <x v="3"/>
    <x v="4"/>
    <n v="1200.9000000000001"/>
    <n v="14"/>
    <n v="0.05"/>
    <d v="2024-05-17T00:00:00"/>
    <n v="513.38"/>
    <n v="1140.855"/>
    <m/>
    <n v="-0.60664501623782163"/>
  </r>
  <r>
    <s v="CUST012"/>
    <s v="Michael Anderson"/>
    <x v="0"/>
    <x v="0"/>
    <n v="472.38"/>
    <n v="12"/>
    <n v="0.2"/>
    <d v="2024-05-17T00:00:00"/>
    <n v="151.16"/>
    <n v="377.904"/>
    <m/>
    <n v="0.78017697616325832"/>
  </r>
  <r>
    <s v="CUST019"/>
    <s v="David Brown"/>
    <x v="1"/>
    <x v="4"/>
    <n v="840.92"/>
    <n v="9"/>
    <n v="0.05"/>
    <d v="2024-05-17T00:00:00"/>
    <n v="359.49"/>
    <n v="798.87399999999991"/>
    <m/>
    <n v="0.67680635494458452"/>
  </r>
  <r>
    <s v="CUST028"/>
    <s v="Lisa Davis"/>
    <x v="4"/>
    <x v="3"/>
    <n v="1410.06"/>
    <n v="11"/>
    <n v="0.05"/>
    <d v="2024-05-22T00:00:00"/>
    <n v="468.84"/>
    <n v="1339.557"/>
    <m/>
    <n v="-0.4517325503879267"/>
  </r>
  <r>
    <s v="CUST008"/>
    <s v="Mary Wilson"/>
    <x v="4"/>
    <x v="3"/>
    <n v="773.09"/>
    <n v="13"/>
    <n v="0.15"/>
    <d v="2024-05-22T00:00:00"/>
    <n v="229.99"/>
    <n v="657.12650000000008"/>
    <m/>
    <n v="-0.24920772484445547"/>
  </r>
  <r>
    <s v="CUST016"/>
    <s v="Emma Wilson"/>
    <x v="1"/>
    <x v="0"/>
    <n v="580.42999999999995"/>
    <n v="19"/>
    <n v="0.15"/>
    <d v="2024-05-23T00:00:00"/>
    <n v="197.35"/>
    <n v="493.36549999999994"/>
    <m/>
    <n v="0.98337439484520117"/>
  </r>
  <r>
    <s v="CUST005"/>
    <s v="David Smith"/>
    <x v="2"/>
    <x v="0"/>
    <n v="1151.21"/>
    <n v="15"/>
    <n v="0.1"/>
    <d v="2024-06-02T00:00:00"/>
    <n v="414.44"/>
    <n v="1036.0889999999999"/>
    <m/>
    <n v="-0.10878119543784368"/>
  </r>
  <r>
    <s v="CUST028"/>
    <s v="James Wilson"/>
    <x v="4"/>
    <x v="4"/>
    <n v="1025.98"/>
    <n v="5"/>
    <n v="0.2"/>
    <d v="2024-06-04T00:00:00"/>
    <n v="369.35"/>
    <n v="820.78399999999999"/>
    <m/>
    <n v="-0.45766974015088019"/>
  </r>
  <r>
    <s v="CUST023"/>
    <s v="David Davis"/>
    <x v="1"/>
    <x v="4"/>
    <n v="556.41999999999996"/>
    <n v="11"/>
    <n v="0.15"/>
    <d v="2024-06-04T00:00:00"/>
    <n v="212.83"/>
    <n v="472.95699999999999"/>
    <m/>
    <n v="0.51117860608892574"/>
  </r>
  <r>
    <s v="CUST021"/>
    <s v="James Wilson"/>
    <x v="4"/>
    <x v="0"/>
    <n v="840.85"/>
    <n v="19"/>
    <n v="0.1"/>
    <d v="2024-06-05T00:00:00"/>
    <n v="302.70999999999998"/>
    <n v="756.76499999999999"/>
    <m/>
    <n v="0.45953499435095435"/>
  </r>
  <r>
    <s v="CUST026"/>
    <s v="Emma Wilson"/>
    <x v="3"/>
    <x v="3"/>
    <n v="1227.25"/>
    <n v="12"/>
    <n v="0.15"/>
    <d v="2024-06-05T00:00:00"/>
    <n v="365.11"/>
    <n v="1043.1624999999999"/>
    <m/>
    <n v="-0.3019352210226115"/>
  </r>
  <r>
    <s v="CUST017"/>
    <s v="Linda Davis"/>
    <x v="4"/>
    <x v="2"/>
    <n v="856.7"/>
    <n v="2"/>
    <n v="0"/>
    <d v="2024-06-06T00:00:00"/>
    <n v="214.18"/>
    <n v="856.7"/>
    <m/>
    <n v="0.4303957044472978"/>
  </r>
  <r>
    <s v="CUST025"/>
    <s v="David Davis"/>
    <x v="4"/>
    <x v="4"/>
    <n v="1225.42"/>
    <n v="8"/>
    <n v="0.15"/>
    <d v="2024-06-06T00:00:00"/>
    <n v="468.72"/>
    <n v="1041.607"/>
    <m/>
    <n v="-0.18267206345579476"/>
  </r>
  <r>
    <s v="CUST011"/>
    <s v="Mary Davis"/>
    <x v="3"/>
    <x v="4"/>
    <n v="1001.57"/>
    <n v="12"/>
    <n v="0"/>
    <d v="2024-06-07T00:00:00"/>
    <n v="450.71"/>
    <n v="1001.57"/>
    <m/>
    <n v="0.18498956638078201"/>
  </r>
  <r>
    <s v="CUST021"/>
    <s v="Michael Anderson"/>
    <x v="1"/>
    <x v="3"/>
    <n v="1186.8499999999999"/>
    <n v="19"/>
    <n v="0.2"/>
    <d v="2024-06-08T00:00:00"/>
    <n v="332.32"/>
    <n v="949.4799999999999"/>
    <m/>
    <n v="-0.34663184058642615"/>
  </r>
  <r>
    <s v="CUST008"/>
    <s v="John Brown"/>
    <x v="2"/>
    <x v="2"/>
    <n v="775.45"/>
    <n v="6"/>
    <n v="0.1"/>
    <d v="2024-06-14T00:00:00"/>
    <n v="174.48"/>
    <n v="697.90499999999997"/>
    <m/>
    <n v="0.3172609452575923"/>
  </r>
  <r>
    <s v="CUST007"/>
    <s v="Linda Jackson"/>
    <x v="2"/>
    <x v="2"/>
    <n v="1021.47"/>
    <n v="6"/>
    <n v="0.05"/>
    <d v="2024-06-18T00:00:00"/>
    <n v="242.6"/>
    <n v="970.39650000000006"/>
    <m/>
    <n v="0.20083800796890741"/>
  </r>
  <r>
    <s v="CUST015"/>
    <s v="James Wilson"/>
    <x v="2"/>
    <x v="1"/>
    <n v="1226.6199999999999"/>
    <n v="7"/>
    <n v="0.1"/>
    <d v="2024-06-20T00:00:00"/>
    <n v="551.98"/>
    <n v="1103.9579999999999"/>
    <m/>
    <n v="-0.11388204986059239"/>
  </r>
  <r>
    <s v="CUST030"/>
    <s v="Sarah Davis"/>
    <x v="2"/>
    <x v="3"/>
    <n v="1086.93"/>
    <n v="2"/>
    <n v="0"/>
    <d v="2024-06-21T00:00:00"/>
    <n v="380.43"/>
    <n v="1086.93"/>
    <m/>
    <n v="-0.13251083326433172"/>
  </r>
  <r>
    <s v="CUST002"/>
    <s v="Lisa Davis"/>
    <x v="0"/>
    <x v="0"/>
    <n v="942.9"/>
    <n v="18"/>
    <n v="0.1"/>
    <d v="2024-06-23T00:00:00"/>
    <n v="339.44"/>
    <n v="848.61"/>
    <m/>
    <n v="-0.13161522961077529"/>
  </r>
  <r>
    <s v="CUST009"/>
    <s v="Emma Davis"/>
    <x v="3"/>
    <x v="2"/>
    <n v="818.8"/>
    <n v="15"/>
    <n v="0.15"/>
    <d v="2024-06-25T00:00:00"/>
    <n v="173.99"/>
    <n v="695.98"/>
    <m/>
    <n v="0.12242305813385444"/>
  </r>
  <r>
    <s v="CUST005"/>
    <s v="Robert Anderson"/>
    <x v="2"/>
    <x v="3"/>
    <n v="919.04"/>
    <n v="10"/>
    <n v="0.2"/>
    <d v="2024-06-25T00:00:00"/>
    <n v="257.33"/>
    <n v="735.23199999999997"/>
    <m/>
    <n v="5.8996344011142093E-2"/>
  </r>
  <r>
    <s v="CUST030"/>
    <s v="Emma Taylor"/>
    <x v="4"/>
    <x v="0"/>
    <n v="973.26"/>
    <n v="11"/>
    <n v="0"/>
    <d v="2024-06-27T00:00:00"/>
    <n v="389.3"/>
    <n v="973.26"/>
    <m/>
    <n v="-0.23801450794237919"/>
  </r>
  <r>
    <s v="CUST029"/>
    <s v="Sarah Davis"/>
    <x v="3"/>
    <x v="2"/>
    <n v="741.61"/>
    <n v="1"/>
    <n v="0.2"/>
    <d v="2024-06-28T00:00:00"/>
    <n v="148.32"/>
    <n v="593.28800000000001"/>
    <m/>
    <n v="0.68393090708054083"/>
  </r>
  <r>
    <s v="CUST003"/>
    <s v="Emma Davis"/>
    <x v="3"/>
    <x v="0"/>
    <n v="1248.82"/>
    <n v="2"/>
    <n v="0.1"/>
    <d v="2024-06-30T00:00:00"/>
    <n v="449.58"/>
    <n v="1123.9379999999999"/>
    <m/>
    <n v="8.9316314600983299E-2"/>
  </r>
  <r>
    <s v="CUST012"/>
    <s v="Mary Wilson"/>
    <x v="0"/>
    <x v="1"/>
    <n v="1360.36"/>
    <n v="17"/>
    <n v="0"/>
    <d v="2024-06-30T00:00:00"/>
    <n v="680.18"/>
    <n v="1360.36"/>
    <m/>
    <n v="1.6863183275015479E-2"/>
  </r>
  <r>
    <s v="CUST021"/>
    <s v="Mary Davis"/>
    <x v="1"/>
    <x v="0"/>
    <n v="1383.3"/>
    <n v="8"/>
    <n v="0.1"/>
    <d v="2024-07-05T00:00:00"/>
    <n v="497.99"/>
    <n v="1244.97"/>
    <m/>
    <n v="-0.64650473505385675"/>
  </r>
  <r>
    <s v="CUST010"/>
    <s v="David Brown"/>
    <x v="4"/>
    <x v="4"/>
    <n v="488.99"/>
    <n v="9"/>
    <n v="0"/>
    <d v="2024-07-06T00:00:00"/>
    <n v="220.05"/>
    <n v="488.99"/>
    <m/>
    <n v="0.90946645125667192"/>
  </r>
  <r>
    <s v="CUST026"/>
    <s v="Mary Davis"/>
    <x v="1"/>
    <x v="3"/>
    <n v="933.71"/>
    <n v="17"/>
    <n v="0.1"/>
    <d v="2024-07-08T00:00:00"/>
    <n v="294.12"/>
    <n v="840.33900000000006"/>
    <m/>
    <n v="7.6918957706354152E-2"/>
  </r>
  <r>
    <s v="CUST003"/>
    <s v="James Davis"/>
    <x v="0"/>
    <x v="2"/>
    <n v="1005.53"/>
    <n v="17"/>
    <n v="0.2"/>
    <d v="2024-07-08T00:00:00"/>
    <n v="201.11"/>
    <n v="804.42399999999998"/>
    <m/>
    <n v="9.4049904030710119E-2"/>
  </r>
  <r>
    <s v="CUST029"/>
    <s v="Emma Wilson"/>
    <x v="2"/>
    <x v="2"/>
    <n v="1100.0999999999999"/>
    <n v="5"/>
    <n v="0.05"/>
    <d v="2024-07-09T00:00:00"/>
    <n v="261.27"/>
    <n v="1045.0949999999998"/>
    <m/>
    <n v="-5.9449140987182868E-2"/>
  </r>
  <r>
    <s v="CUST003"/>
    <s v="James Wilson"/>
    <x v="3"/>
    <x v="3"/>
    <n v="1034.7"/>
    <n v="15"/>
    <n v="0.15"/>
    <d v="2024-07-14T00:00:00"/>
    <n v="307.82"/>
    <n v="879.495"/>
    <m/>
    <n v="-0.15295254663187396"/>
  </r>
  <r>
    <s v="CUST002"/>
    <s v="Mary Davis"/>
    <x v="2"/>
    <x v="0"/>
    <n v="876.44"/>
    <n v="12"/>
    <n v="0.05"/>
    <d v="2024-07-15T00:00:00"/>
    <n v="333.05"/>
    <n v="832.61800000000005"/>
    <m/>
    <n v="0.56467071334033114"/>
  </r>
  <r>
    <s v="CUST020"/>
    <s v="David Brown"/>
    <x v="0"/>
    <x v="3"/>
    <n v="1371.34"/>
    <n v="5"/>
    <n v="0.05"/>
    <d v="2024-07-15T00:00:00"/>
    <n v="455.97"/>
    <n v="1302.7729999999999"/>
    <m/>
    <n v="-0.25601236746539879"/>
  </r>
  <r>
    <s v="CUST021"/>
    <s v="Mary Jackson"/>
    <x v="3"/>
    <x v="2"/>
    <n v="1020.26"/>
    <n v="11"/>
    <n v="0.05"/>
    <d v="2024-07-21T00:00:00"/>
    <n v="242.31"/>
    <n v="969.24699999999996"/>
    <m/>
    <n v="-0.21117166212534064"/>
  </r>
  <r>
    <s v="CUST008"/>
    <s v="James Davis"/>
    <x v="4"/>
    <x v="4"/>
    <n v="804.81"/>
    <n v="1"/>
    <n v="0.05"/>
    <d v="2024-07-29T00:00:00"/>
    <n v="344.06"/>
    <n v="764.56949999999995"/>
    <m/>
    <n v="-0.24372212074899666"/>
  </r>
  <r>
    <s v="CUST030"/>
    <s v="David Brown"/>
    <x v="4"/>
    <x v="2"/>
    <n v="608.66"/>
    <n v="1"/>
    <n v="0.05"/>
    <d v="2024-07-30T00:00:00"/>
    <n v="144.56"/>
    <n v="578.22699999999998"/>
    <m/>
    <n v="0.61206584957118937"/>
  </r>
  <r>
    <s v="CUST020"/>
    <s v="Linda Moore"/>
    <x v="2"/>
    <x v="4"/>
    <n v="981.2"/>
    <n v="19"/>
    <n v="0"/>
    <d v="2024-07-31T00:00:00"/>
    <n v="441.54"/>
    <n v="981.2"/>
    <m/>
    <n v="-0.44988789237668164"/>
  </r>
  <r>
    <s v="CUST024"/>
    <s v="David Brown"/>
    <x v="1"/>
    <x v="2"/>
    <n v="539.77"/>
    <n v="10"/>
    <n v="0.15"/>
    <d v="2024-08-05T00:00:00"/>
    <n v="114.7"/>
    <n v="458.80449999999996"/>
    <m/>
    <n v="0.4903570039090725"/>
  </r>
  <r>
    <s v="CUST012"/>
    <s v="David Anderson"/>
    <x v="2"/>
    <x v="0"/>
    <n v="804.45"/>
    <n v="5"/>
    <n v="0.2"/>
    <d v="2024-08-05T00:00:00"/>
    <n v="257.42"/>
    <n v="643.56000000000006"/>
    <m/>
    <n v="0.8976940766983651"/>
  </r>
  <r>
    <s v="CUST024"/>
    <s v="Emma Davis"/>
    <x v="0"/>
    <x v="2"/>
    <n v="1526.6"/>
    <n v="13"/>
    <n v="0.2"/>
    <d v="2024-08-08T00:00:00"/>
    <n v="305.32"/>
    <n v="1221.28"/>
    <m/>
    <n v="-0.20394340364208041"/>
  </r>
  <r>
    <s v="CUST012"/>
    <s v="Linda Wilson"/>
    <x v="0"/>
    <x v="2"/>
    <n v="1215.26"/>
    <n v="5"/>
    <n v="0.15"/>
    <d v="2024-08-09T00:00:00"/>
    <n v="258.24"/>
    <n v="1032.971"/>
    <m/>
    <n v="3.79178118262758E-2"/>
  </r>
  <r>
    <s v="CUST005"/>
    <s v="Linda Taylor"/>
    <x v="4"/>
    <x v="3"/>
    <n v="1261.3399999999999"/>
    <n v="3"/>
    <n v="0"/>
    <d v="2024-08-15T00:00:00"/>
    <n v="441.47"/>
    <n v="1261.3399999999999"/>
    <m/>
    <n v="-0.589270141278323"/>
  </r>
  <r>
    <s v="CUST004"/>
    <s v="Lisa Thomas"/>
    <x v="3"/>
    <x v="3"/>
    <n v="518.07000000000005"/>
    <n v="7"/>
    <n v="0.05"/>
    <d v="2024-08-18T00:00:00"/>
    <n v="172.26"/>
    <n v="492.16650000000004"/>
    <m/>
    <n v="1.1451541297508054"/>
  </r>
  <r>
    <s v="CUST026"/>
    <s v="Linda Wilson"/>
    <x v="0"/>
    <x v="4"/>
    <n v="1111.3399999999999"/>
    <n v="1"/>
    <n v="0"/>
    <d v="2024-08-19T00:00:00"/>
    <n v="500.1"/>
    <n v="1111.3399999999999"/>
    <m/>
    <n v="0.16208361077618022"/>
  </r>
  <r>
    <s v="CUST030"/>
    <s v="Mary Davis"/>
    <x v="1"/>
    <x v="1"/>
    <n v="1291.47"/>
    <n v="18"/>
    <n v="0.1"/>
    <d v="2024-08-22T00:00:00"/>
    <n v="581.16"/>
    <n v="1162.3230000000001"/>
    <m/>
    <n v="-0.4736927687054287"/>
  </r>
  <r>
    <s v="CUST007"/>
    <s v="David Brown"/>
    <x v="3"/>
    <x v="0"/>
    <n v="679.71"/>
    <n v="19"/>
    <n v="0"/>
    <d v="2024-08-30T00:00:00"/>
    <n v="271.88"/>
    <n v="679.71"/>
    <m/>
    <n v="0.68261464448073439"/>
  </r>
  <r>
    <s v="CUST020"/>
    <s v="Linda Jackson"/>
    <x v="1"/>
    <x v="3"/>
    <n v="1143.69"/>
    <n v="17"/>
    <n v="0"/>
    <d v="2024-08-30T00:00:00"/>
    <n v="400.29"/>
    <n v="1143.69"/>
    <m/>
    <n v="-0.30918343257351205"/>
  </r>
  <r>
    <s v="CUST028"/>
    <s v="Linda Brown"/>
    <x v="4"/>
    <x v="2"/>
    <n v="790.08"/>
    <n v="7"/>
    <n v="0.1"/>
    <d v="2024-09-01T00:00:00"/>
    <n v="177.77"/>
    <n v="711.072"/>
    <m/>
    <n v="0.35515390846496558"/>
  </r>
  <r>
    <s v="CUST005"/>
    <s v="Lisa Davis"/>
    <x v="4"/>
    <x v="0"/>
    <n v="1070.68"/>
    <n v="7"/>
    <n v="0.05"/>
    <d v="2024-09-01T00:00:00"/>
    <n v="406.86"/>
    <n v="1017.1460000000001"/>
    <m/>
    <n v="9.1726753091493279E-2"/>
  </r>
  <r>
    <s v="CUST015"/>
    <s v="David Thomas"/>
    <x v="0"/>
    <x v="1"/>
    <n v="1168.8900000000001"/>
    <n v="4"/>
    <n v="0.1"/>
    <d v="2024-09-09T00:00:00"/>
    <n v="526"/>
    <n v="1052.0010000000002"/>
    <m/>
    <n v="0.14285347637502227"/>
  </r>
  <r>
    <s v="CUST003"/>
    <s v="James Davis"/>
    <x v="2"/>
    <x v="2"/>
    <n v="1335.87"/>
    <n v="17"/>
    <n v="0"/>
    <d v="2024-09-09T00:00:00"/>
    <n v="333.97"/>
    <n v="1335.87"/>
    <m/>
    <n v="-0.34596929341926974"/>
  </r>
  <r>
    <s v="CUST023"/>
    <s v="David Brown"/>
    <x v="1"/>
    <x v="3"/>
    <n v="873.7"/>
    <n v="9"/>
    <n v="0"/>
    <d v="2024-09-11T00:00:00"/>
    <n v="305.8"/>
    <n v="873.7"/>
    <m/>
    <n v="0.65271832436763189"/>
  </r>
  <r>
    <s v="CUST004"/>
    <s v="Sarah Davis"/>
    <x v="0"/>
    <x v="4"/>
    <n v="1443.98"/>
    <n v="19"/>
    <n v="0"/>
    <d v="2024-09-12T00:00:00"/>
    <n v="649.79"/>
    <n v="1443.98"/>
    <m/>
    <n v="-0.200591420933808"/>
  </r>
  <r>
    <s v="CUST023"/>
    <s v="James Wilson"/>
    <x v="1"/>
    <x v="4"/>
    <n v="1154.33"/>
    <n v="11"/>
    <n v="0.15"/>
    <d v="2024-09-14T00:00:00"/>
    <n v="441.53"/>
    <n v="981.18049999999994"/>
    <m/>
    <n v="9.5431982188802236E-2"/>
  </r>
  <r>
    <s v="CUST022"/>
    <s v="Linda Brown"/>
    <x v="2"/>
    <x v="0"/>
    <n v="1264.49"/>
    <n v="16"/>
    <n v="0.05"/>
    <d v="2024-09-14T00:00:00"/>
    <n v="480.51"/>
    <n v="1201.2655"/>
    <m/>
    <n v="-0.12885827487761869"/>
  </r>
  <r>
    <s v="CUST007"/>
    <s v="Emma Taylor"/>
    <x v="0"/>
    <x v="3"/>
    <n v="1101.55"/>
    <n v="4"/>
    <n v="0.1"/>
    <d v="2024-09-16T00:00:00"/>
    <n v="346.99"/>
    <n v="991.39499999999998"/>
    <m/>
    <n v="-0.33935817711406652"/>
  </r>
  <r>
    <s v="CUST013"/>
    <s v="Robert Anderson"/>
    <x v="2"/>
    <x v="3"/>
    <n v="727.73"/>
    <n v="1"/>
    <n v="0.1"/>
    <d v="2024-09-17T00:00:00"/>
    <n v="229.23"/>
    <n v="654.95699999999999"/>
    <m/>
    <n v="0.20293240624957051"/>
  </r>
  <r>
    <s v="CUST027"/>
    <s v="Emma Davis"/>
    <x v="1"/>
    <x v="4"/>
    <n v="875.41"/>
    <n v="13"/>
    <n v="0.15"/>
    <d v="2024-09-17T00:00:00"/>
    <n v="334.84"/>
    <n v="744.09849999999994"/>
    <m/>
    <n v="0.32388252361750502"/>
  </r>
  <r>
    <s v="CUST003"/>
    <s v="James Wilson"/>
    <x v="0"/>
    <x v="2"/>
    <n v="1158.94"/>
    <n v="19"/>
    <n v="0.2"/>
    <d v="2024-09-18T00:00:00"/>
    <n v="231.79"/>
    <n v="927.15200000000004"/>
    <m/>
    <n v="-0.16622085699000819"/>
  </r>
  <r>
    <s v="CUST018"/>
    <s v="Mary Jackson"/>
    <x v="2"/>
    <x v="0"/>
    <n v="966.3"/>
    <n v="2"/>
    <n v="0.15"/>
    <d v="2024-09-22T00:00:00"/>
    <n v="328.54"/>
    <n v="821.35500000000002"/>
    <m/>
    <n v="-5.0522612025250893E-2"/>
  </r>
  <r>
    <s v="CUST020"/>
    <s v="James Taylor"/>
    <x v="2"/>
    <x v="0"/>
    <n v="917.48"/>
    <n v="6"/>
    <n v="0"/>
    <d v="2024-09-23T00:00:00"/>
    <n v="366.99"/>
    <n v="917.48"/>
    <m/>
    <n v="0.27846928543401489"/>
  </r>
  <r>
    <s v="CUST029"/>
    <s v="Emma Wilson"/>
    <x v="0"/>
    <x v="3"/>
    <n v="1172.97"/>
    <n v="7"/>
    <n v="0.15"/>
    <d v="2024-09-24T00:00:00"/>
    <n v="348.96"/>
    <n v="997.02449999999999"/>
    <m/>
    <n v="2.8005831351185374E-2"/>
  </r>
  <r>
    <s v="CUST021"/>
    <s v="James Wilson"/>
    <x v="3"/>
    <x v="1"/>
    <n v="1205.82"/>
    <n v="11"/>
    <n v="0.1"/>
    <d v="2024-09-24T00:00:00"/>
    <n v="542.62"/>
    <n v="1085.2379999999998"/>
    <m/>
    <n v="-0.31421771076943489"/>
  </r>
  <r>
    <s v="CUST017"/>
    <s v="Sarah Davis"/>
    <x v="0"/>
    <x v="4"/>
    <n v="826.93"/>
    <n v="10"/>
    <n v="0.2"/>
    <d v="2024-09-29T00:00:00"/>
    <n v="297.69"/>
    <n v="661.54399999999998"/>
    <m/>
    <n v="9.1011331067926068E-2"/>
  </r>
  <r>
    <s v="CUST003"/>
    <s v="James Wilson"/>
    <x v="4"/>
    <x v="1"/>
    <n v="902.19"/>
    <n v="12"/>
    <n v="0"/>
    <d v="2024-09-29T00:00:00"/>
    <n v="451.1"/>
    <n v="902.19"/>
    <m/>
    <n v="-0.35050266573559896"/>
  </r>
  <r>
    <s v="CUST027"/>
    <s v="Emma Davis"/>
    <x v="3"/>
    <x v="0"/>
    <n v="585.97"/>
    <n v="17"/>
    <n v="0.1"/>
    <d v="2024-09-30T00:00:00"/>
    <n v="210.95"/>
    <n v="527.37300000000005"/>
    <m/>
    <n v="0.6898305373995256"/>
  </r>
  <r>
    <s v="CUST016"/>
    <s v="Michael Anderson"/>
    <x v="3"/>
    <x v="1"/>
    <n v="990.19"/>
    <n v="8"/>
    <n v="0.1"/>
    <d v="2024-09-30T00:00:00"/>
    <n v="445.59"/>
    <n v="891.17100000000005"/>
    <m/>
    <n v="2.413678182974982E-2"/>
  </r>
  <r>
    <s v="CUST008"/>
    <s v="David Davis"/>
    <x v="4"/>
    <x v="2"/>
    <n v="1014.09"/>
    <n v="13"/>
    <n v="0.2"/>
    <d v="2024-10-02T00:00:00"/>
    <n v="202.82"/>
    <n v="811.27200000000005"/>
    <m/>
    <n v="-8.7566192349791502E-2"/>
  </r>
  <r>
    <s v="CUST012"/>
    <s v="Lisa Davis"/>
    <x v="3"/>
    <x v="2"/>
    <n v="925.29"/>
    <n v="17"/>
    <n v="0"/>
    <d v="2024-10-05T00:00:00"/>
    <n v="231.32"/>
    <n v="925.29"/>
    <m/>
    <n v="0.39041813917798746"/>
  </r>
  <r>
    <s v="CUST025"/>
    <s v="Mary Jackson"/>
    <x v="1"/>
    <x v="3"/>
    <n v="1286.54"/>
    <n v="8"/>
    <n v="0"/>
    <d v="2024-10-10T00:00:00"/>
    <n v="450.29"/>
    <n v="1286.54"/>
    <m/>
    <n v="-0.25255336017535401"/>
  </r>
  <r>
    <s v="CUST014"/>
    <s v="Sarah Davis"/>
    <x v="2"/>
    <x v="0"/>
    <n v="961.62"/>
    <n v="8"/>
    <n v="0.2"/>
    <d v="2024-10-12T00:00:00"/>
    <n v="307.72000000000003"/>
    <n v="769.29600000000005"/>
    <m/>
    <n v="0.12429026018593634"/>
  </r>
  <r>
    <s v="CUST008"/>
    <s v="James Wilson"/>
    <x v="1"/>
    <x v="0"/>
    <n v="1081.1400000000001"/>
    <n v="19"/>
    <n v="0.15"/>
    <d v="2024-10-12T00:00:00"/>
    <n v="367.59"/>
    <n v="918.96900000000005"/>
    <m/>
    <n v="0.77928852877518162"/>
  </r>
  <r>
    <s v="CUST015"/>
    <s v="James Wilson"/>
    <x v="0"/>
    <x v="1"/>
    <n v="1923.66"/>
    <n v="9"/>
    <n v="0.2"/>
    <d v="2024-10-15T00:00:00"/>
    <n v="769.46"/>
    <n v="1538.9280000000001"/>
    <m/>
    <n v="-0.62118565650894653"/>
  </r>
  <r>
    <s v="CUST025"/>
    <s v="Emma Taylor"/>
    <x v="4"/>
    <x v="1"/>
    <n v="728.71"/>
    <n v="14"/>
    <n v="0.1"/>
    <d v="2024-10-16T00:00:00"/>
    <n v="327.92"/>
    <n v="655.83900000000006"/>
    <m/>
    <n v="0.78656804490126397"/>
  </r>
  <r>
    <s v="CUST019"/>
    <s v="Linda Jackson"/>
    <x v="4"/>
    <x v="1"/>
    <n v="1301.8900000000001"/>
    <n v="7"/>
    <n v="0.15"/>
    <d v="2024-10-16T00:00:00"/>
    <n v="553.29999999999995"/>
    <n v="1106.6065000000001"/>
    <m/>
    <n v="-0.24710997088847761"/>
  </r>
  <r>
    <s v="CUST024"/>
    <s v="Emma Taylor"/>
    <x v="1"/>
    <x v="0"/>
    <n v="980.18"/>
    <n v="16"/>
    <n v="0.1"/>
    <d v="2024-10-17T00:00:00"/>
    <n v="352.86"/>
    <n v="882.16199999999992"/>
    <m/>
    <n v="-0.28832459344202077"/>
  </r>
  <r>
    <s v="CUST027"/>
    <s v="James Wilson"/>
    <x v="0"/>
    <x v="1"/>
    <n v="697.57"/>
    <n v="17"/>
    <n v="0.1"/>
    <d v="2024-10-19T00:00:00"/>
    <n v="313.91000000000003"/>
    <n v="627.8130000000001"/>
    <m/>
    <n v="0.71109709419843148"/>
  </r>
  <r>
    <s v="CUST006"/>
    <s v="David Anderson"/>
    <x v="0"/>
    <x v="3"/>
    <n v="1193.6099999999999"/>
    <n v="1"/>
    <n v="0.15"/>
    <d v="2024-10-19T00:00:00"/>
    <n v="355.1"/>
    <n v="1014.5684999999999"/>
    <m/>
    <n v="-0.35404361558633052"/>
  </r>
  <r>
    <s v="CUST009"/>
    <s v="Emma Davis"/>
    <x v="2"/>
    <x v="2"/>
    <n v="771.02"/>
    <n v="1"/>
    <n v="0"/>
    <d v="2024-10-20T00:00:00"/>
    <n v="192.76"/>
    <n v="771.02"/>
    <m/>
    <n v="-0.1425773650488962"/>
  </r>
  <r>
    <s v="CUST003"/>
    <s v="Linda Moore"/>
    <x v="3"/>
    <x v="1"/>
    <n v="661.09"/>
    <n v="1"/>
    <n v="0.2"/>
    <d v="2024-10-28T00:00:00"/>
    <n v="264.44"/>
    <n v="528.87200000000007"/>
    <m/>
    <n v="4.1961003796759912E-2"/>
  </r>
  <r>
    <s v="CUST012"/>
    <s v="David Brown"/>
    <x v="0"/>
    <x v="2"/>
    <n v="688.83"/>
    <n v="15"/>
    <n v="0"/>
    <d v="2024-10-30T00:00:00"/>
    <n v="172.21"/>
    <n v="688.83"/>
    <m/>
    <n v="0.81336469085260488"/>
  </r>
  <r>
    <s v="CUST013"/>
    <s v="Linda Wilson"/>
    <x v="4"/>
    <x v="0"/>
    <n v="1249.0999999999999"/>
    <n v="4"/>
    <n v="0.05"/>
    <d v="2024-11-01T00:00:00"/>
    <n v="474.66"/>
    <n v="1186.645"/>
    <m/>
    <n v="-0.18803938835961884"/>
  </r>
  <r>
    <s v="CUST008"/>
    <s v="James Wilson"/>
    <x v="1"/>
    <x v="4"/>
    <n v="1014.22"/>
    <n v="14"/>
    <n v="0.05"/>
    <d v="2024-11-03T00:00:00"/>
    <n v="433.58"/>
    <n v="963.50900000000001"/>
    <m/>
    <n v="-3.5889649188538841E-3"/>
  </r>
  <r>
    <s v="CUST025"/>
    <s v="Lisa Davis"/>
    <x v="1"/>
    <x v="0"/>
    <n v="1010.58"/>
    <n v="2"/>
    <n v="0.15"/>
    <d v="2024-11-09T00:00:00"/>
    <n v="343.6"/>
    <n v="858.99300000000005"/>
    <m/>
    <n v="-5.2732094440816238E-2"/>
  </r>
  <r>
    <s v="CUST026"/>
    <s v="Mary Wilson"/>
    <x v="3"/>
    <x v="3"/>
    <n v="957.29"/>
    <n v="4"/>
    <n v="0.05"/>
    <d v="2024-11-09T00:00:00"/>
    <n v="318.3"/>
    <n v="909.42549999999994"/>
    <m/>
    <n v="0.12601197129396538"/>
  </r>
  <r>
    <s v="CUST001"/>
    <s v="Lisa Thomas"/>
    <x v="3"/>
    <x v="3"/>
    <n v="1077.92"/>
    <n v="3"/>
    <n v="0.05"/>
    <d v="2024-11-12T00:00:00"/>
    <n v="358.41"/>
    <n v="1024.0240000000001"/>
    <m/>
    <n v="7.8939067834347551E-2"/>
  </r>
  <r>
    <s v="CUST028"/>
    <s v="Linda Brown"/>
    <x v="2"/>
    <x v="1"/>
    <n v="1163.01"/>
    <n v="5"/>
    <n v="0"/>
    <d v="2024-11-15T00:00:00"/>
    <n v="581.5"/>
    <n v="1163.01"/>
    <m/>
    <n v="-0.12764292654405382"/>
  </r>
  <r>
    <s v="CUST025"/>
    <s v="Lisa Thomas"/>
    <x v="1"/>
    <x v="4"/>
    <n v="1014.56"/>
    <n v="10"/>
    <n v="0.1"/>
    <d v="2024-11-16T00:00:00"/>
    <n v="410.9"/>
    <n v="913.10399999999993"/>
    <m/>
    <n v="-0.29226462703043682"/>
  </r>
  <r>
    <s v="CUST019"/>
    <s v="James Taylor"/>
    <x v="2"/>
    <x v="2"/>
    <n v="718.04"/>
    <n v="14"/>
    <n v="0"/>
    <d v="2024-11-17T00:00:00"/>
    <n v="179.51"/>
    <n v="718.04"/>
    <m/>
    <n v="0.77963623196479304"/>
  </r>
  <r>
    <s v="CUST004"/>
    <s v="James Taylor"/>
    <x v="4"/>
    <x v="1"/>
    <n v="1277.8499999999999"/>
    <n v="18"/>
    <n v="0.2"/>
    <d v="2024-11-17T00:00:00"/>
    <n v="511.14"/>
    <n v="1022.28"/>
    <m/>
    <n v="-0.44693821653558707"/>
  </r>
  <r>
    <s v="CUST024"/>
    <s v="James Wilson"/>
    <x v="3"/>
    <x v="2"/>
    <n v="706.73"/>
    <n v="1"/>
    <n v="0.15"/>
    <d v="2024-11-17T00:00:00"/>
    <n v="150.18"/>
    <n v="600.72050000000002"/>
    <m/>
    <n v="0.99593904319895843"/>
  </r>
  <r>
    <s v="CUST002"/>
    <s v="Linda Brown"/>
    <x v="1"/>
    <x v="2"/>
    <n v="1410.59"/>
    <n v="15"/>
    <n v="0"/>
    <d v="2024-11-19T00:00:00"/>
    <n v="352.65"/>
    <n v="1410.59"/>
    <m/>
    <n v="-4.2719713027881946E-2"/>
  </r>
  <r>
    <s v="CUST009"/>
    <s v="Emma Wilson"/>
    <x v="2"/>
    <x v="3"/>
    <n v="1350.33"/>
    <n v="10"/>
    <n v="0"/>
    <d v="2024-11-19T00:00:00"/>
    <n v="472.62"/>
    <n v="1350.33"/>
    <m/>
    <n v="-0.31929232113631484"/>
  </r>
  <r>
    <s v="CUST029"/>
    <s v="Lisa Thomas"/>
    <x v="1"/>
    <x v="2"/>
    <n v="919.18"/>
    <n v="4"/>
    <n v="0.15"/>
    <d v="2024-11-19T00:00:00"/>
    <n v="195.33"/>
    <n v="781.303"/>
    <m/>
    <n v="-0.71876019930807888"/>
  </r>
  <r>
    <s v="CUST027"/>
    <s v="James Wilson"/>
    <x v="0"/>
    <x v="2"/>
    <n v="258.51"/>
    <n v="19"/>
    <n v="0"/>
    <d v="2024-11-20T00:00:00"/>
    <n v="64.63"/>
    <n v="258.51"/>
    <m/>
    <n v="3.6941317550578319"/>
  </r>
  <r>
    <s v="CUST011"/>
    <s v="Emma Wilson"/>
    <x v="1"/>
    <x v="0"/>
    <n v="1213.48"/>
    <n v="5"/>
    <n v="0.05"/>
    <d v="2024-11-20T00:00:00"/>
    <n v="461.12"/>
    <n v="1152.806"/>
    <m/>
    <n v="-5.2081616507894689E-2"/>
  </r>
  <r>
    <s v="CUST021"/>
    <s v="Emma Davis"/>
    <x v="4"/>
    <x v="0"/>
    <n v="1150.28"/>
    <n v="8"/>
    <n v="0.05"/>
    <d v="2024-11-26T00:00:00"/>
    <n v="437.11"/>
    <n v="1092.7660000000001"/>
    <m/>
    <n v="-0.25769377890600548"/>
  </r>
  <r>
    <s v="CUST014"/>
    <s v="David Anderson"/>
    <x v="2"/>
    <x v="3"/>
    <n v="853.86"/>
    <n v="8"/>
    <n v="0.1"/>
    <d v="2024-11-26T00:00:00"/>
    <n v="268.97000000000003"/>
    <n v="768.47400000000005"/>
    <m/>
    <n v="0.24263930855175314"/>
  </r>
  <r>
    <s v="CUST018"/>
    <s v="Lisa Thomas"/>
    <x v="2"/>
    <x v="2"/>
    <n v="1061.04"/>
    <n v="1"/>
    <n v="0"/>
    <d v="2024-11-28T00:00:00"/>
    <n v="265.26"/>
    <n v="1061.04"/>
    <m/>
    <n v="-0.15691208625499511"/>
  </r>
  <r>
    <s v="CUST001"/>
    <s v="Sarah Anderson"/>
    <x v="0"/>
    <x v="2"/>
    <n v="894.55"/>
    <n v="19"/>
    <n v="0.2"/>
    <d v="2024-11-29T00:00:00"/>
    <n v="178.91"/>
    <n v="715.64"/>
    <m/>
    <n v="-6.778827343356994E-2"/>
  </r>
  <r>
    <s v="CUST007"/>
    <s v="Emma Davis"/>
    <x v="3"/>
    <x v="4"/>
    <n v="833.91"/>
    <n v="3"/>
    <n v="0.05"/>
    <d v="2024-11-30T00:00:00"/>
    <n v="356.5"/>
    <n v="792.21449999999993"/>
    <m/>
    <n v="-1.6452614790564826E-2"/>
  </r>
  <r>
    <s v="CUST015"/>
    <s v="David Anderson"/>
    <x v="0"/>
    <x v="3"/>
    <n v="820.19"/>
    <n v="4"/>
    <n v="0.2"/>
    <d v="2024-12-04T00:00:00"/>
    <n v="229.65"/>
    <n v="656.15200000000004"/>
    <m/>
    <n v="-0.37607139809068635"/>
  </r>
  <r>
    <s v="CUST015"/>
    <s v="Emma Davis"/>
    <x v="4"/>
    <x v="2"/>
    <n v="511.74"/>
    <n v="8"/>
    <n v="0.05"/>
    <d v="2024-12-05T00:00:00"/>
    <n v="121.54"/>
    <n v="486.15300000000002"/>
    <m/>
    <n v="0.57507718763434545"/>
  </r>
  <r>
    <s v="CUST002"/>
    <s v="Emma Wilson"/>
    <x v="2"/>
    <x v="3"/>
    <n v="806.03"/>
    <n v="19"/>
    <n v="0.05"/>
    <d v="2024-12-12T00:00:00"/>
    <n v="268"/>
    <n v="765.72849999999994"/>
    <m/>
    <n v="0.77719191593365022"/>
  </r>
  <r>
    <s v="CUST001"/>
    <s v="Michael Anderson"/>
    <x v="4"/>
    <x v="3"/>
    <n v="1432.47"/>
    <n v="16"/>
    <n v="0.15"/>
    <d v="2024-12-14T00:00:00"/>
    <n v="426.16"/>
    <n v="1217.5995"/>
    <m/>
    <n v="3.9170104784044271E-2"/>
  </r>
  <r>
    <s v="CUST027"/>
    <s v="Linda Wilson"/>
    <x v="4"/>
    <x v="2"/>
    <n v="1488.58"/>
    <n v="10"/>
    <n v="0.15"/>
    <d v="2024-12-14T00:00:00"/>
    <n v="316.32"/>
    <n v="1265.2929999999999"/>
    <m/>
    <n v="-0.17286272823764928"/>
  </r>
  <r>
    <s v="CUST026"/>
    <s v="Emma Taylor"/>
    <x v="1"/>
    <x v="0"/>
    <n v="1231.26"/>
    <n v="9"/>
    <n v="0"/>
    <d v="2024-12-20T00:00:00"/>
    <n v="492.5"/>
    <n v="1231.26"/>
    <m/>
    <n v="-5.651933791400672E-2"/>
  </r>
  <r>
    <s v="CUST026"/>
    <s v="Sarah Anderson"/>
    <x v="0"/>
    <x v="2"/>
    <n v="1161.67"/>
    <n v="19"/>
    <n v="0.2"/>
    <d v="2024-12-21T00:00:00"/>
    <n v="232.33"/>
    <n v="929.33600000000001"/>
    <m/>
    <n v="-0.66580009813458207"/>
  </r>
  <r>
    <s v="CUST022"/>
    <s v="Lisa Thomas"/>
    <x v="4"/>
    <x v="4"/>
    <n v="388.23"/>
    <n v="16"/>
    <n v="0.05"/>
    <d v="2024-12-24T00:00:00"/>
    <n v="165.97"/>
    <n v="368.81850000000003"/>
    <m/>
    <n v="3.0940164335574272"/>
  </r>
  <r>
    <s v="CUST004"/>
    <s v="Mary Davis"/>
    <x v="3"/>
    <x v="1"/>
    <n v="1589.42"/>
    <n v="6"/>
    <n v="0.15"/>
    <d v="2024-12-25T00:00:00"/>
    <n v="675.5"/>
    <n v="1351.0070000000001"/>
    <m/>
    <n v="-0.78818688578223495"/>
  </r>
  <r>
    <s v="CUST001"/>
    <s v="David Anderson"/>
    <x v="3"/>
    <x v="1"/>
    <n v="336.66"/>
    <n v="13"/>
    <n v="0.2"/>
    <d v="2024-12-25T00:00:00"/>
    <n v="134.66"/>
    <n v="269.32800000000003"/>
    <m/>
    <n v="3.0212380443177085"/>
  </r>
  <r>
    <s v="CUST022"/>
    <s v="James Wilson"/>
    <x v="0"/>
    <x v="0"/>
    <n v="1353.79"/>
    <n v="14"/>
    <n v="0.1"/>
    <d v="2024-12-30T00:00:00"/>
    <n v="487.36"/>
    <n v="1218.4110000000001"/>
    <m/>
    <n v="-0.51055185811684234"/>
  </r>
  <r>
    <s v="CUST011"/>
    <s v="Linda Moore"/>
    <x v="4"/>
    <x v="1"/>
    <n v="662.61"/>
    <n v="11"/>
    <n v="0.05"/>
    <d v="2025-01-01T00:00:00"/>
    <n v="314.74"/>
    <n v="629.47950000000003"/>
    <m/>
    <n v="-0.53302847829039701"/>
  </r>
  <r>
    <s v="CUST028"/>
    <s v="Lisa Davis"/>
    <x v="3"/>
    <x v="4"/>
    <n v="309.42"/>
    <n v="1"/>
    <n v="0.2"/>
    <d v="2025-01-01T00:00:00"/>
    <n v="111.39"/>
    <n v="247.536"/>
    <m/>
    <n v="1.8589942473014027"/>
  </r>
  <r>
    <s v="CUST011"/>
    <s v="Linda Wilson"/>
    <x v="3"/>
    <x v="0"/>
    <n v="884.63"/>
    <n v="18"/>
    <n v="0.1"/>
    <d v="2025-01-02T00:00:00"/>
    <n v="318.47000000000003"/>
    <n v="796.16700000000003"/>
    <m/>
    <n v="-0.15778348009902449"/>
  </r>
  <r>
    <s v="CUST028"/>
    <s v="James Wilson"/>
    <x v="4"/>
    <x v="4"/>
    <n v="745.05"/>
    <n v="10"/>
    <n v="0.1"/>
    <d v="2025-01-03T00:00:00"/>
    <n v="301.75"/>
    <n v="670.54499999999996"/>
    <m/>
    <n v="0.16801556942487092"/>
  </r>
  <r>
    <s v="CUST016"/>
    <s v="James Taylor"/>
    <x v="2"/>
    <x v="1"/>
    <n v="870.23"/>
    <n v="5"/>
    <n v="0.05"/>
    <d v="2025-01-03T00:00:00"/>
    <n v="413.36"/>
    <n v="826.71850000000006"/>
    <m/>
    <n v="-9.2389368327912887E-3"/>
  </r>
  <r>
    <s v="CUST010"/>
    <s v="Linda Wilson"/>
    <x v="0"/>
    <x v="3"/>
    <n v="862.19"/>
    <n v="18"/>
    <n v="0.05"/>
    <d v="2025-01-06T00:00:00"/>
    <n v="286.68"/>
    <n v="819.08050000000003"/>
    <m/>
    <n v="0.3583780837170461"/>
  </r>
  <r>
    <s v="CUST013"/>
    <s v="Mary Wilson"/>
    <x v="3"/>
    <x v="1"/>
    <n v="1171.18"/>
    <n v="19"/>
    <n v="0.05"/>
    <d v="2025-01-10T00:00:00"/>
    <n v="556.30999999999995"/>
    <n v="1112.6210000000001"/>
    <m/>
    <n v="-9.9574787820830374E-2"/>
  </r>
  <r>
    <s v="CUST015"/>
    <s v="Robert Anderson"/>
    <x v="2"/>
    <x v="3"/>
    <n v="1054.56"/>
    <n v="11"/>
    <n v="0.1"/>
    <d v="2025-01-12T00:00:00"/>
    <n v="332.19"/>
    <n v="949.10399999999993"/>
    <m/>
    <n v="0.59422887270520419"/>
  </r>
  <r>
    <s v="CUST015"/>
    <s v="James Wilson"/>
    <x v="3"/>
    <x v="2"/>
    <n v="1681.21"/>
    <n v="5"/>
    <n v="0.2"/>
    <d v="2025-01-13T00:00:00"/>
    <n v="336.24"/>
    <n v="1344.9680000000001"/>
    <m/>
    <n v="-0.77410912378584473"/>
  </r>
  <r>
    <s v="CUST015"/>
    <s v="David Thomas"/>
    <x v="0"/>
    <x v="1"/>
    <n v="379.77"/>
    <n v="9"/>
    <n v="0.05"/>
    <d v="2025-01-16T00:00:00"/>
    <n v="180.39"/>
    <n v="360.78149999999999"/>
    <m/>
    <n v="1.8341627827369196"/>
  </r>
  <r>
    <s v="CUST008"/>
    <s v="Lisa Thomas"/>
    <x v="4"/>
    <x v="1"/>
    <n v="1076.33"/>
    <n v="2"/>
    <n v="0.1"/>
    <d v="2025-01-17T00:00:00"/>
    <n v="484.35"/>
    <n v="968.69699999999989"/>
    <m/>
    <n v="0.16201350886809818"/>
  </r>
  <r>
    <s v="CUST008"/>
    <s v="Mary Davis"/>
    <x v="4"/>
    <x v="4"/>
    <n v="1250.71"/>
    <n v="7"/>
    <n v="0"/>
    <d v="2025-01-17T00:00:00"/>
    <n v="562.82000000000005"/>
    <n v="1250.71"/>
    <m/>
    <n v="-0.10583588521719672"/>
  </r>
  <r>
    <s v="CUST023"/>
    <s v="James Taylor"/>
    <x v="2"/>
    <x v="1"/>
    <n v="1118.3399999999999"/>
    <n v="6"/>
    <n v="0.2"/>
    <d v="2025-01-17T00:00:00"/>
    <n v="447.34"/>
    <n v="894.67199999999991"/>
    <m/>
    <n v="0.45091832537510956"/>
  </r>
  <r>
    <s v="CUST024"/>
    <s v="Linda Taylor"/>
    <x v="3"/>
    <x v="1"/>
    <n v="1622.62"/>
    <n v="12"/>
    <n v="0.2"/>
    <d v="2025-01-20T00:00:00"/>
    <n v="649.04999999999995"/>
    <n v="1298.096"/>
    <m/>
    <n v="-0.60518174310682726"/>
  </r>
  <r>
    <s v="CUST018"/>
    <s v="Lisa Davis"/>
    <x v="3"/>
    <x v="0"/>
    <n v="640.64"/>
    <n v="11"/>
    <n v="0.2"/>
    <d v="2025-01-21T00:00:00"/>
    <n v="205"/>
    <n v="512.51199999999994"/>
    <m/>
    <n v="-8.6600899100899131E-2"/>
  </r>
  <r>
    <s v="CUST030"/>
    <s v="Sarah Anderson"/>
    <x v="0"/>
    <x v="1"/>
    <n v="585.16"/>
    <n v="17"/>
    <n v="0.1"/>
    <d v="2025-01-27T00:00:00"/>
    <n v="263.32"/>
    <n v="526.64400000000001"/>
    <m/>
    <n v="0.8968829038211773"/>
  </r>
  <r>
    <s v="CUST030"/>
    <s v="Mary Davis"/>
    <x v="1"/>
    <x v="1"/>
    <n v="1109.98"/>
    <n v="5"/>
    <n v="0.2"/>
    <d v="2025-02-02T00:00:00"/>
    <n v="443.99"/>
    <n v="887.98400000000004"/>
    <m/>
    <n v="-1.0720913890340448E-2"/>
  </r>
  <r>
    <s v="CUST015"/>
    <s v="Lisa Thomas"/>
    <x v="1"/>
    <x v="0"/>
    <n v="1098.08"/>
    <n v="9"/>
    <n v="0.1"/>
    <d v="2025-02-04T00:00:00"/>
    <n v="395.31"/>
    <n v="988.27199999999993"/>
    <m/>
    <n v="-0.24663958910097619"/>
  </r>
  <r>
    <s v="CUST002"/>
    <s v="Lisa Davis"/>
    <x v="0"/>
    <x v="4"/>
    <n v="827.25"/>
    <n v="7"/>
    <n v="0.1"/>
    <d v="2025-02-05T00:00:00"/>
    <n v="335.04"/>
    <n v="744.52499999999998"/>
    <m/>
    <n v="-0.10319734058627984"/>
  </r>
  <r>
    <s v="CUST024"/>
    <s v="Linda Wilson"/>
    <x v="4"/>
    <x v="1"/>
    <n v="741.88"/>
    <n v="16"/>
    <n v="0.1"/>
    <d v="2025-02-07T00:00:00"/>
    <n v="333.85"/>
    <n v="667.69200000000001"/>
    <m/>
    <n v="0.76748261174313903"/>
  </r>
  <r>
    <s v="CUST004"/>
    <s v="James Davis"/>
    <x v="1"/>
    <x v="4"/>
    <n v="1311.26"/>
    <n v="6"/>
    <n v="0.1"/>
    <d v="2025-02-10T00:00:00"/>
    <n v="531.05999999999995"/>
    <n v="1180.134"/>
    <m/>
    <n v="-0.56277168524930221"/>
  </r>
  <r>
    <s v="CUST004"/>
    <s v="Mary Davis"/>
    <x v="2"/>
    <x v="4"/>
    <n v="573.32000000000005"/>
    <n v="19"/>
    <n v="0.1"/>
    <d v="2025-02-15T00:00:00"/>
    <n v="232.19"/>
    <n v="515.98800000000006"/>
    <m/>
    <n v="0.94519639991627702"/>
  </r>
  <r>
    <s v="CUST028"/>
    <s v="James Wilson"/>
    <x v="0"/>
    <x v="2"/>
    <n v="1115.22"/>
    <n v="14"/>
    <n v="0.2"/>
    <d v="2025-02-17T00:00:00"/>
    <n v="223.04"/>
    <n v="892.17600000000004"/>
    <m/>
    <n v="-0.24154875271246928"/>
  </r>
  <r>
    <s v="CUST012"/>
    <s v="Lisa Thomas"/>
    <x v="3"/>
    <x v="1"/>
    <n v="845.84"/>
    <n v="4"/>
    <n v="0"/>
    <d v="2025-02-19T00:00:00"/>
    <n v="422.92"/>
    <n v="845.84"/>
    <m/>
    <n v="0.21748794098174587"/>
  </r>
  <r>
    <s v="CUST026"/>
    <s v="David Brown"/>
    <x v="0"/>
    <x v="2"/>
    <n v="1029.8"/>
    <n v="3"/>
    <n v="0"/>
    <d v="2025-02-20T00:00:00"/>
    <n v="257.45"/>
    <n v="1029.8"/>
    <m/>
    <n v="0.15539910662264517"/>
  </r>
  <r>
    <s v="CUST009"/>
    <s v="Mary Davis"/>
    <x v="3"/>
    <x v="0"/>
    <n v="1189.83"/>
    <n v="2"/>
    <n v="0.2"/>
    <d v="2025-02-21T00:00:00"/>
    <n v="380.75"/>
    <n v="951.86399999999992"/>
    <m/>
    <n v="-0.40808350772799473"/>
  </r>
  <r>
    <s v="CUST003"/>
    <s v="Sarah Anderson"/>
    <x v="2"/>
    <x v="0"/>
    <n v="704.28"/>
    <n v="15"/>
    <n v="0.2"/>
    <d v="2025-02-24T00:00:00"/>
    <n v="225.37"/>
    <n v="563.42399999999998"/>
    <m/>
    <n v="1.2976940989379226"/>
  </r>
  <r>
    <s v="CUST002"/>
    <s v="Mary Jackson"/>
    <x v="4"/>
    <x v="4"/>
    <n v="1618.22"/>
    <n v="12"/>
    <n v="0.2"/>
    <d v="2025-02-24T00:00:00"/>
    <n v="582.55999999999995"/>
    <n v="1294.576"/>
    <m/>
    <n v="-0.37311984773392992"/>
  </r>
  <r>
    <s v="CUST013"/>
    <s v="Linda Taylor"/>
    <x v="4"/>
    <x v="0"/>
    <n v="1014.43"/>
    <n v="2"/>
    <n v="0.15"/>
    <d v="2025-02-25T00:00:00"/>
    <n v="344.91"/>
    <n v="862.26549999999997"/>
    <m/>
    <n v="-0.1847934307936476"/>
  </r>
  <r>
    <s v="CUST018"/>
    <s v="Mary Davis"/>
    <x v="4"/>
    <x v="1"/>
    <n v="826.97"/>
    <n v="18"/>
    <n v="0.2"/>
    <d v="2025-02-27T00:00:00"/>
    <n v="330.79"/>
    <n v="661.57600000000002"/>
    <m/>
    <n v="0.23611497394101355"/>
  </r>
  <r>
    <s v="CUST017"/>
    <s v="Mary Davis"/>
    <x v="4"/>
    <x v="1"/>
    <n v="1022.23"/>
    <n v="8"/>
    <n v="0.1"/>
    <d v="2025-03-01T00:00:00"/>
    <n v="460"/>
    <n v="920.00700000000006"/>
    <m/>
    <n v="7.5775510403725224E-2"/>
  </r>
  <r>
    <s v="CUST004"/>
    <s v="Linda Wilson"/>
    <x v="1"/>
    <x v="0"/>
    <n v="1099.69"/>
    <n v="6"/>
    <n v="0"/>
    <d v="2025-03-02T00:00:00"/>
    <n v="439.88"/>
    <n v="1099.69"/>
    <m/>
    <n v="-0.35389064190817415"/>
  </r>
  <r>
    <s v="CUST028"/>
    <s v="Sarah Davis"/>
    <x v="3"/>
    <x v="0"/>
    <n v="710.52"/>
    <n v="8"/>
    <n v="0.1"/>
    <d v="2025-03-05T00:00:00"/>
    <n v="255.79"/>
    <n v="639.46799999999996"/>
    <m/>
    <n v="-0.29744412542926307"/>
  </r>
  <r>
    <s v="CUST028"/>
    <s v="Mary Wilson"/>
    <x v="3"/>
    <x v="0"/>
    <n v="499.18"/>
    <n v="15"/>
    <n v="0.2"/>
    <d v="2025-03-08T00:00:00"/>
    <n v="159.74"/>
    <n v="399.34399999999999"/>
    <m/>
    <n v="1.1318762770944348"/>
  </r>
  <r>
    <s v="CUST014"/>
    <s v="Emma Davis"/>
    <x v="2"/>
    <x v="0"/>
    <n v="1064.19"/>
    <n v="18"/>
    <n v="0.05"/>
    <d v="2025-03-09T00:00:00"/>
    <n v="404.39"/>
    <n v="1010.9805"/>
    <m/>
    <n v="-0.58770520301825802"/>
  </r>
  <r>
    <s v="CUST003"/>
    <s v="Emma Davis"/>
    <x v="1"/>
    <x v="4"/>
    <n v="438.76"/>
    <n v="18"/>
    <n v="0.05"/>
    <d v="2025-03-10T00:00:00"/>
    <n v="187.57"/>
    <n v="416.822"/>
    <m/>
    <n v="0.97141945482724046"/>
  </r>
  <r>
    <s v="CUST029"/>
    <s v="David Brown"/>
    <x v="0"/>
    <x v="1"/>
    <n v="864.98"/>
    <n v="2"/>
    <n v="0.05"/>
    <d v="2025-03-11T00:00:00"/>
    <n v="410.87"/>
    <n v="821.73099999999999"/>
    <m/>
    <n v="0.13867372656015159"/>
  </r>
  <r>
    <s v="CUST021"/>
    <s v="David Brown"/>
    <x v="0"/>
    <x v="3"/>
    <n v="984.93"/>
    <n v="14"/>
    <n v="0.2"/>
    <d v="2025-03-17T00:00:00"/>
    <n v="275.77999999999997"/>
    <n v="787.94399999999996"/>
    <m/>
    <n v="0.51634126283086113"/>
  </r>
  <r>
    <s v="CUST007"/>
    <s v="David Brown"/>
    <x v="0"/>
    <x v="1"/>
    <n v="1493.49"/>
    <n v="18"/>
    <n v="0"/>
    <d v="2025-03-18T00:00:00"/>
    <n v="746.74"/>
    <n v="1493.49"/>
    <m/>
    <n v="-0.53837655424542519"/>
  </r>
  <r>
    <s v="CUST009"/>
    <s v="Linda Taylor"/>
    <x v="2"/>
    <x v="1"/>
    <n v="689.43"/>
    <n v="9"/>
    <n v="0.1"/>
    <d v="2025-03-20T00:00:00"/>
    <n v="310.24"/>
    <n v="620.48699999999997"/>
    <m/>
    <n v="-1.0428905037494657E-2"/>
  </r>
  <r>
    <s v="CUST023"/>
    <s v="Mary Wilson"/>
    <x v="2"/>
    <x v="1"/>
    <n v="682.24"/>
    <n v="1"/>
    <n v="0"/>
    <d v="2025-03-22T00:00:00"/>
    <n v="341.12"/>
    <n v="682.24"/>
    <m/>
    <n v="-0.32789047842401498"/>
  </r>
  <r>
    <s v="CUST029"/>
    <s v="Michael Anderson"/>
    <x v="3"/>
    <x v="2"/>
    <n v="458.54"/>
    <n v="15"/>
    <n v="0.2"/>
    <d v="2025-03-25T00:00:00"/>
    <n v="91.71"/>
    <n v="366.83199999999999"/>
    <m/>
    <n v="1.5826536398133206"/>
  </r>
  <r>
    <s v="CUST009"/>
    <s v="Michael Anderson"/>
    <x v="2"/>
    <x v="3"/>
    <n v="1184.25"/>
    <n v="11"/>
    <n v="0.2"/>
    <d v="2025-03-26T00:00:00"/>
    <n v="331.59"/>
    <n v="947.4"/>
    <m/>
    <n v="-0.35643656322567024"/>
  </r>
  <r>
    <s v="CUST007"/>
    <s v="James Davis"/>
    <x v="2"/>
    <x v="1"/>
    <n v="762.14"/>
    <n v="9"/>
    <n v="0"/>
    <d v="2025-03-27T00:00:00"/>
    <n v="381.07"/>
    <n v="762.14"/>
    <m/>
    <n v="-1.4997244600729459E-2"/>
  </r>
  <r>
    <s v="CUST030"/>
    <s v="Linda Taylor"/>
    <x v="3"/>
    <x v="0"/>
    <n v="750.71"/>
    <n v="10"/>
    <n v="0.15"/>
    <d v="2025-03-27T00:00:00"/>
    <n v="255.24"/>
    <n v="638.10350000000005"/>
    <m/>
    <n v="0.94074942387872806"/>
  </r>
  <r>
    <s v="CUST018"/>
    <s v="David Anderson"/>
    <x v="4"/>
    <x v="1"/>
    <n v="1456.94"/>
    <n v="14"/>
    <n v="0.05"/>
    <d v="2025-03-29T00:00:00"/>
    <n v="692.05"/>
    <n v="1384.0930000000001"/>
    <m/>
    <n v="-0.24953670020728372"/>
  </r>
  <r>
    <s v="CUST008"/>
    <s v="Emma Wilson"/>
    <x v="1"/>
    <x v="3"/>
    <n v="1093.3800000000001"/>
    <n v="17"/>
    <n v="0.1"/>
    <d v="2025-03-29T00:00:00"/>
    <n v="344.41"/>
    <n v="984.04200000000014"/>
    <m/>
    <n v="-0.14552122775247409"/>
  </r>
  <r>
    <s v="CUST014"/>
    <s v="Sarah Anderson"/>
    <x v="0"/>
    <x v="1"/>
    <n v="934.27"/>
    <n v="8"/>
    <n v="0.15"/>
    <d v="2025-03-30T00:00:00"/>
    <n v="397.06"/>
    <n v="794.12950000000001"/>
    <m/>
    <n v="0.56844381174606906"/>
  </r>
  <r>
    <s v="CUST024"/>
    <s v="David Thomas"/>
    <x v="4"/>
    <x v="1"/>
    <n v="1465.35"/>
    <n v="8"/>
    <n v="0.2"/>
    <d v="2025-03-30T00:00:00"/>
    <n v="586.14"/>
    <n v="1172.28"/>
    <m/>
    <n v="-0.49445524959907189"/>
  </r>
  <r>
    <s v="CUST028"/>
    <s v="Robert Anderson"/>
    <x v="2"/>
    <x v="4"/>
    <n v="740.8"/>
    <n v="3"/>
    <n v="0"/>
    <d v="2025-04-02T00:00:00"/>
    <n v="333.36"/>
    <n v="740.8"/>
    <m/>
    <n v="-0.26371490280777526"/>
  </r>
  <r>
    <s v="CUST015"/>
    <s v="Sarah Anderson"/>
    <x v="0"/>
    <x v="4"/>
    <n v="545.44000000000005"/>
    <n v="17"/>
    <n v="0"/>
    <d v="2025-04-05T00:00:00"/>
    <n v="245.45"/>
    <n v="545.44000000000005"/>
    <m/>
    <n v="0.82900044001173345"/>
  </r>
  <r>
    <s v="CUST010"/>
    <s v="David Thomas"/>
    <x v="1"/>
    <x v="0"/>
    <n v="997.61"/>
    <n v="8"/>
    <n v="0.05"/>
    <d v="2025-04-05T00:00:00"/>
    <n v="379.09"/>
    <n v="947.72950000000003"/>
    <m/>
    <n v="-6.9455999839616644E-2"/>
  </r>
  <r>
    <s v="CUST016"/>
    <s v="David Thomas"/>
    <x v="2"/>
    <x v="1"/>
    <n v="928.32"/>
    <n v="2"/>
    <n v="0.05"/>
    <d v="2025-04-07T00:00:00"/>
    <n v="440.95"/>
    <n v="881.904"/>
    <m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8027F-E47B-4ADB-945D-E0C16BCCDE9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EB9B-7044-4986-B665-19B2416587E5}">
  <dimension ref="A1:I18"/>
  <sheetViews>
    <sheetView workbookViewId="0">
      <selection activeCell="A4" sqref="A4:I18"/>
    </sheetView>
  </sheetViews>
  <sheetFormatPr defaultRowHeight="14.4" x14ac:dyDescent="0.3"/>
  <cols>
    <col min="2" max="2" width="12.6640625" customWidth="1"/>
    <col min="3" max="3" width="17.77734375" customWidth="1"/>
    <col min="6" max="6" width="14.5546875" customWidth="1"/>
    <col min="7" max="7" width="10.88671875" customWidth="1"/>
    <col min="8" max="8" width="12.6640625" customWidth="1"/>
    <col min="9" max="9" width="12.44140625" customWidth="1"/>
  </cols>
  <sheetData>
    <row r="1" spans="1:9" x14ac:dyDescent="0.3">
      <c r="A1" t="s">
        <v>77</v>
      </c>
    </row>
    <row r="2" spans="1:9" ht="15" thickBot="1" x14ac:dyDescent="0.35"/>
    <row r="3" spans="1:9" x14ac:dyDescent="0.3">
      <c r="A3" s="10" t="s">
        <v>78</v>
      </c>
      <c r="B3" s="10"/>
    </row>
    <row r="4" spans="1:9" x14ac:dyDescent="0.3">
      <c r="A4" t="s">
        <v>79</v>
      </c>
      <c r="B4">
        <v>0.77340306414342619</v>
      </c>
    </row>
    <row r="5" spans="1:9" x14ac:dyDescent="0.3">
      <c r="A5" t="s">
        <v>80</v>
      </c>
      <c r="B5">
        <v>0.59815229962644056</v>
      </c>
    </row>
    <row r="6" spans="1:9" x14ac:dyDescent="0.3">
      <c r="A6" t="s">
        <v>81</v>
      </c>
      <c r="B6">
        <v>0.59612276578617007</v>
      </c>
    </row>
    <row r="7" spans="1:9" x14ac:dyDescent="0.3">
      <c r="A7" t="s">
        <v>82</v>
      </c>
      <c r="B7">
        <v>86.281230529665166</v>
      </c>
    </row>
    <row r="8" spans="1:9" ht="15" thickBot="1" x14ac:dyDescent="0.35">
      <c r="A8" s="8" t="s">
        <v>83</v>
      </c>
      <c r="B8" s="8">
        <v>200</v>
      </c>
    </row>
    <row r="10" spans="1:9" ht="15" thickBot="1" x14ac:dyDescent="0.35">
      <c r="A10" t="s">
        <v>84</v>
      </c>
    </row>
    <row r="11" spans="1:9" x14ac:dyDescent="0.3">
      <c r="A11" s="9"/>
      <c r="B11" s="9" t="s">
        <v>89</v>
      </c>
      <c r="C11" s="9" t="s">
        <v>90</v>
      </c>
      <c r="D11" s="9" t="s">
        <v>91</v>
      </c>
      <c r="E11" s="9" t="s">
        <v>92</v>
      </c>
      <c r="F11" s="9" t="s">
        <v>93</v>
      </c>
    </row>
    <row r="12" spans="1:9" x14ac:dyDescent="0.3">
      <c r="A12" t="s">
        <v>85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</row>
    <row r="13" spans="1:9" x14ac:dyDescent="0.3">
      <c r="A13" t="s">
        <v>86</v>
      </c>
      <c r="B13">
        <v>198</v>
      </c>
      <c r="C13">
        <v>1474001.2468592182</v>
      </c>
      <c r="D13">
        <v>7444.4507417132236</v>
      </c>
    </row>
    <row r="14" spans="1:9" ht="15" thickBot="1" x14ac:dyDescent="0.35">
      <c r="A14" s="8" t="s">
        <v>87</v>
      </c>
      <c r="B14" s="8">
        <v>199</v>
      </c>
      <c r="C14" s="8">
        <v>3668059.4301995002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94</v>
      </c>
      <c r="C16" s="9" t="s">
        <v>82</v>
      </c>
      <c r="D16" s="9" t="s">
        <v>95</v>
      </c>
      <c r="E16" s="9" t="s">
        <v>96</v>
      </c>
      <c r="F16" s="9" t="s">
        <v>97</v>
      </c>
      <c r="G16" s="9" t="s">
        <v>98</v>
      </c>
      <c r="H16" s="9" t="s">
        <v>99</v>
      </c>
      <c r="I16" s="9" t="s">
        <v>100</v>
      </c>
    </row>
    <row r="17" spans="1:9" x14ac:dyDescent="0.3">
      <c r="A17" t="s">
        <v>88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</row>
    <row r="18" spans="1:9" ht="15" thickBot="1" x14ac:dyDescent="0.35">
      <c r="A18" s="8" t="s">
        <v>101</v>
      </c>
      <c r="B18" s="8">
        <v>0.35085598819512254</v>
      </c>
      <c r="C18" s="8">
        <v>2.0437188630135626E-2</v>
      </c>
      <c r="D18" s="8">
        <v>17.167527028535048</v>
      </c>
      <c r="E18" s="8">
        <v>4.6269367558907868E-41</v>
      </c>
      <c r="F18" s="8">
        <v>0.31055349501865764</v>
      </c>
      <c r="G18" s="8">
        <v>0.39115848137158743</v>
      </c>
      <c r="H18" s="8">
        <v>0.31055349501865764</v>
      </c>
      <c r="I18" s="8">
        <v>0.39115848137158743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AC77-B2A3-42B4-9F11-73ED6EE71F40}">
  <dimension ref="A3:G10"/>
  <sheetViews>
    <sheetView workbookViewId="0">
      <selection activeCell="H30" sqref="H3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" bestFit="1" customWidth="1"/>
    <col min="4" max="4" width="10.33203125" bestFit="1" customWidth="1"/>
    <col min="5" max="5" width="9" bestFit="1" customWidth="1"/>
    <col min="6" max="6" width="13.77734375" bestFit="1" customWidth="1"/>
    <col min="7" max="7" width="10.5546875" bestFit="1" customWidth="1"/>
  </cols>
  <sheetData>
    <row r="3" spans="1:7" x14ac:dyDescent="0.3">
      <c r="A3" s="13" t="s">
        <v>121</v>
      </c>
      <c r="B3" s="13" t="s">
        <v>120</v>
      </c>
    </row>
    <row r="4" spans="1:7" x14ac:dyDescent="0.3">
      <c r="A4" s="13" t="s">
        <v>118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119</v>
      </c>
    </row>
    <row r="5" spans="1:7" x14ac:dyDescent="0.3">
      <c r="A5" s="14" t="s">
        <v>34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7" x14ac:dyDescent="0.3">
      <c r="A6" s="14" t="s">
        <v>18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32441.640000000003</v>
      </c>
    </row>
    <row r="7" spans="1:7" x14ac:dyDescent="0.3">
      <c r="A7" s="14" t="s">
        <v>24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34975.420000000006</v>
      </c>
    </row>
    <row r="8" spans="1:7" x14ac:dyDescent="0.3">
      <c r="A8" s="14" t="s">
        <v>20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G8">
        <v>40248.79</v>
      </c>
    </row>
    <row r="9" spans="1:7" x14ac:dyDescent="0.3">
      <c r="A9" s="14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7" x14ac:dyDescent="0.3">
      <c r="A10" s="14" t="s">
        <v>119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6F01-7E19-437F-B2E4-A44E2CAF3ED1}">
  <dimension ref="A1:T201"/>
  <sheetViews>
    <sheetView tabSelected="1" zoomScale="95" workbookViewId="0">
      <selection activeCell="K1" sqref="K1"/>
    </sheetView>
  </sheetViews>
  <sheetFormatPr defaultRowHeight="14.4" x14ac:dyDescent="0.3"/>
  <cols>
    <col min="8" max="8" width="13.88671875" customWidth="1"/>
    <col min="11" max="11" width="11.44140625" customWidth="1"/>
    <col min="17" max="17" width="17.6640625" customWidth="1"/>
    <col min="20" max="20" width="16.5546875" customWidth="1"/>
  </cols>
  <sheetData>
    <row r="1" spans="1:20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5" t="s">
        <v>76</v>
      </c>
      <c r="K1" s="6"/>
      <c r="L1" s="6" t="s">
        <v>102</v>
      </c>
      <c r="M1" s="6" t="s">
        <v>123</v>
      </c>
      <c r="N1" s="19" t="s">
        <v>115</v>
      </c>
      <c r="O1" s="19"/>
      <c r="Q1" t="s">
        <v>116</v>
      </c>
      <c r="S1" s="20" t="s">
        <v>117</v>
      </c>
      <c r="T1" s="20"/>
    </row>
    <row r="2" spans="1:20" ht="29.4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1036.0899999999999</v>
      </c>
      <c r="F2" s="3">
        <v>4</v>
      </c>
      <c r="G2" s="3">
        <v>0.2</v>
      </c>
      <c r="H2" s="4">
        <v>45392</v>
      </c>
      <c r="I2" s="3">
        <v>331.55</v>
      </c>
      <c r="J2">
        <f>E2-(E2*G2)</f>
        <v>828.87199999999996</v>
      </c>
      <c r="L2" s="11">
        <f>(E3-E2)/E2</f>
        <v>6.2919244467179544E-2</v>
      </c>
      <c r="M2" t="str" cm="1">
        <f t="array" ref="M2:M201">TEXT(H2:H201,"mmm")</f>
        <v>Apr</v>
      </c>
      <c r="N2" s="10">
        <v>1036.0899999999999</v>
      </c>
      <c r="O2" s="10"/>
      <c r="Q2" s="12">
        <f ca="1">NOW()</f>
        <v>46094.541705439813</v>
      </c>
      <c r="S2" t="str" cm="1">
        <f t="array" ref="S2:T100">_xlfn._xlws.FILTER(A2:B100,B2:B100&gt;5000)</f>
        <v>CUST019</v>
      </c>
      <c r="T2" t="str">
        <v>James Davis</v>
      </c>
    </row>
    <row r="3" spans="1:20" ht="29.4" thickBot="1" x14ac:dyDescent="0.35">
      <c r="A3" s="2" t="s">
        <v>13</v>
      </c>
      <c r="B3" s="2" t="s">
        <v>14</v>
      </c>
      <c r="C3" s="2" t="s">
        <v>11</v>
      </c>
      <c r="D3" s="2" t="s">
        <v>15</v>
      </c>
      <c r="E3" s="3">
        <v>1101.28</v>
      </c>
      <c r="F3" s="3">
        <v>3</v>
      </c>
      <c r="G3" s="3">
        <v>0.2</v>
      </c>
      <c r="H3" s="4">
        <v>45393</v>
      </c>
      <c r="I3" s="3">
        <v>440.51</v>
      </c>
      <c r="J3">
        <f t="shared" ref="J3:J66" si="0">E3-(E3*G3)</f>
        <v>881.024</v>
      </c>
      <c r="L3" s="11">
        <f t="shared" ref="L3:L66" si="1">(E4-E3)/E3</f>
        <v>-0.35226282144413767</v>
      </c>
      <c r="M3" t="str">
        <v>Apr</v>
      </c>
      <c r="Q3" s="12">
        <f t="shared" ref="Q3:Q66" ca="1" si="2">NOW()</f>
        <v>46094.541705439813</v>
      </c>
      <c r="S3" t="str">
        <v>CUST012</v>
      </c>
      <c r="T3" t="str">
        <v>Robert Anderson</v>
      </c>
    </row>
    <row r="4" spans="1:20" ht="29.4" thickBot="1" x14ac:dyDescent="0.35">
      <c r="A4" s="2" t="s">
        <v>16</v>
      </c>
      <c r="B4" s="2" t="s">
        <v>17</v>
      </c>
      <c r="C4" s="2" t="s">
        <v>18</v>
      </c>
      <c r="D4" s="2" t="s">
        <v>12</v>
      </c>
      <c r="E4" s="3">
        <v>713.34</v>
      </c>
      <c r="F4" s="3">
        <v>17</v>
      </c>
      <c r="G4" s="3">
        <v>0</v>
      </c>
      <c r="H4" s="4">
        <v>45396</v>
      </c>
      <c r="I4" s="3">
        <v>285.33999999999997</v>
      </c>
      <c r="J4">
        <f t="shared" si="0"/>
        <v>713.34</v>
      </c>
      <c r="L4" s="11">
        <f t="shared" si="1"/>
        <v>6.6714329772618833E-2</v>
      </c>
      <c r="M4" t="str">
        <v>Apr</v>
      </c>
      <c r="N4" t="s">
        <v>103</v>
      </c>
      <c r="O4">
        <v>975.78728643216039</v>
      </c>
      <c r="Q4" s="12">
        <f t="shared" ca="1" si="2"/>
        <v>46094.541705439813</v>
      </c>
      <c r="S4" t="str">
        <v>CUST017</v>
      </c>
      <c r="T4" t="str">
        <v>James Taylor</v>
      </c>
    </row>
    <row r="5" spans="1:20" ht="29.4" thickBot="1" x14ac:dyDescent="0.35">
      <c r="A5" s="2" t="s">
        <v>19</v>
      </c>
      <c r="B5" s="2" t="s">
        <v>14</v>
      </c>
      <c r="C5" s="2" t="s">
        <v>20</v>
      </c>
      <c r="D5" s="2" t="s">
        <v>21</v>
      </c>
      <c r="E5" s="3">
        <v>760.93</v>
      </c>
      <c r="F5" s="3">
        <v>4</v>
      </c>
      <c r="G5" s="3">
        <v>0.15</v>
      </c>
      <c r="H5" s="4">
        <v>45396</v>
      </c>
      <c r="I5" s="3">
        <v>161.69999999999999</v>
      </c>
      <c r="J5">
        <f t="shared" si="0"/>
        <v>646.79049999999995</v>
      </c>
      <c r="L5" s="11">
        <f t="shared" si="1"/>
        <v>0.1131115871367932</v>
      </c>
      <c r="M5" t="str">
        <v>Apr</v>
      </c>
      <c r="N5" t="s">
        <v>82</v>
      </c>
      <c r="O5">
        <v>21.266301032131288</v>
      </c>
      <c r="Q5" s="12">
        <f t="shared" ca="1" si="2"/>
        <v>46094.541705439813</v>
      </c>
      <c r="S5" t="str">
        <v>CUST005</v>
      </c>
      <c r="T5" t="str">
        <v>Robert Anderson</v>
      </c>
    </row>
    <row r="6" spans="1:20" ht="29.4" thickBot="1" x14ac:dyDescent="0.35">
      <c r="A6" s="2" t="s">
        <v>22</v>
      </c>
      <c r="B6" s="2" t="s">
        <v>23</v>
      </c>
      <c r="C6" s="2" t="s">
        <v>24</v>
      </c>
      <c r="D6" s="2" t="s">
        <v>12</v>
      </c>
      <c r="E6" s="3">
        <v>847</v>
      </c>
      <c r="F6" s="3">
        <v>12</v>
      </c>
      <c r="G6" s="3">
        <v>0.2</v>
      </c>
      <c r="H6" s="4">
        <v>45397</v>
      </c>
      <c r="I6" s="3">
        <v>271.04000000000002</v>
      </c>
      <c r="J6">
        <f t="shared" si="0"/>
        <v>677.6</v>
      </c>
      <c r="L6" s="11">
        <f t="shared" si="1"/>
        <v>0.14007083825265643</v>
      </c>
      <c r="M6" t="str">
        <v>Apr</v>
      </c>
      <c r="N6" t="s">
        <v>104</v>
      </c>
      <c r="O6">
        <v>973.26</v>
      </c>
      <c r="Q6" s="12">
        <f t="shared" ca="1" si="2"/>
        <v>46094.541705439813</v>
      </c>
      <c r="S6" t="str">
        <v>CUST030</v>
      </c>
      <c r="T6" t="str">
        <v>James Wilson</v>
      </c>
    </row>
    <row r="7" spans="1:20" ht="29.4" thickBot="1" x14ac:dyDescent="0.35">
      <c r="A7" s="2" t="s">
        <v>25</v>
      </c>
      <c r="B7" s="2" t="s">
        <v>26</v>
      </c>
      <c r="C7" s="2" t="s">
        <v>24</v>
      </c>
      <c r="D7" s="2" t="s">
        <v>27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J7">
        <f t="shared" si="0"/>
        <v>869.07600000000002</v>
      </c>
      <c r="L7" s="11">
        <f t="shared" si="1"/>
        <v>0.36441116772296095</v>
      </c>
      <c r="M7" t="str">
        <v>Apr</v>
      </c>
      <c r="N7" t="s">
        <v>105</v>
      </c>
      <c r="O7" t="e">
        <v>#N/A</v>
      </c>
      <c r="Q7" s="12">
        <f t="shared" ca="1" si="2"/>
        <v>46094.541705439813</v>
      </c>
      <c r="S7" t="str">
        <v>CUST007</v>
      </c>
      <c r="T7" t="str">
        <v>Michael Anderson</v>
      </c>
    </row>
    <row r="8" spans="1:20" ht="29.4" thickBot="1" x14ac:dyDescent="0.35">
      <c r="A8" s="2" t="s">
        <v>28</v>
      </c>
      <c r="B8" s="2" t="s">
        <v>29</v>
      </c>
      <c r="C8" s="2" t="s">
        <v>11</v>
      </c>
      <c r="D8" s="2" t="s">
        <v>21</v>
      </c>
      <c r="E8" s="3">
        <v>1317.53</v>
      </c>
      <c r="F8" s="3">
        <v>12</v>
      </c>
      <c r="G8" s="3">
        <v>0.05</v>
      </c>
      <c r="H8" s="4">
        <v>45398</v>
      </c>
      <c r="I8" s="3">
        <v>312.91000000000003</v>
      </c>
      <c r="J8">
        <f t="shared" si="0"/>
        <v>1251.6534999999999</v>
      </c>
      <c r="L8" s="11">
        <f t="shared" si="1"/>
        <v>-0.18448156778213776</v>
      </c>
      <c r="M8" t="str">
        <v>Apr</v>
      </c>
      <c r="N8" t="s">
        <v>106</v>
      </c>
      <c r="O8">
        <v>299.9980939243722</v>
      </c>
      <c r="Q8" s="12">
        <f t="shared" ca="1" si="2"/>
        <v>46094.541705439813</v>
      </c>
      <c r="S8" t="str">
        <v>CUST001</v>
      </c>
      <c r="T8" t="str">
        <v>Linda Wilson</v>
      </c>
    </row>
    <row r="9" spans="1:20" ht="29.4" thickBot="1" x14ac:dyDescent="0.35">
      <c r="A9" s="2" t="s">
        <v>30</v>
      </c>
      <c r="B9" s="2" t="s">
        <v>31</v>
      </c>
      <c r="C9" s="2" t="s">
        <v>18</v>
      </c>
      <c r="D9" s="2" t="s">
        <v>27</v>
      </c>
      <c r="E9" s="3">
        <v>1074.47</v>
      </c>
      <c r="F9" s="3">
        <v>6</v>
      </c>
      <c r="G9" s="3">
        <v>0.2</v>
      </c>
      <c r="H9" s="4">
        <v>45401</v>
      </c>
      <c r="I9" s="3">
        <v>300.85000000000002</v>
      </c>
      <c r="J9">
        <f t="shared" si="0"/>
        <v>859.57600000000002</v>
      </c>
      <c r="L9" s="11">
        <f t="shared" si="1"/>
        <v>-0.53322102990311504</v>
      </c>
      <c r="M9" t="str">
        <v>Apr</v>
      </c>
      <c r="N9" t="s">
        <v>107</v>
      </c>
      <c r="O9">
        <v>89998.856358256453</v>
      </c>
      <c r="Q9" s="12">
        <f t="shared" ca="1" si="2"/>
        <v>46094.541705439813</v>
      </c>
      <c r="S9" t="str">
        <v>CUST026</v>
      </c>
      <c r="T9" t="str">
        <v>Mary Davis</v>
      </c>
    </row>
    <row r="10" spans="1:20" ht="29.4" thickBot="1" x14ac:dyDescent="0.35">
      <c r="A10" s="2" t="s">
        <v>32</v>
      </c>
      <c r="B10" s="2" t="s">
        <v>33</v>
      </c>
      <c r="C10" s="2" t="s">
        <v>34</v>
      </c>
      <c r="D10" s="2" t="s">
        <v>12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J10">
        <f t="shared" si="0"/>
        <v>476.46300000000002</v>
      </c>
      <c r="L10" s="11">
        <f t="shared" si="1"/>
        <v>0.47009211628185171</v>
      </c>
      <c r="M10" t="str">
        <v>Apr</v>
      </c>
      <c r="N10" t="s">
        <v>108</v>
      </c>
      <c r="O10">
        <v>-0.10144708104707512</v>
      </c>
      <c r="Q10" s="12">
        <f t="shared" ca="1" si="2"/>
        <v>46094.541705439813</v>
      </c>
      <c r="S10" t="str">
        <v>CUST009</v>
      </c>
      <c r="T10" t="str">
        <v>Linda Jackson</v>
      </c>
    </row>
    <row r="11" spans="1:20" ht="29.4" thickBot="1" x14ac:dyDescent="0.35">
      <c r="A11" s="2" t="s">
        <v>35</v>
      </c>
      <c r="B11" s="2" t="s">
        <v>36</v>
      </c>
      <c r="C11" s="2" t="s">
        <v>34</v>
      </c>
      <c r="D11" s="2" t="s">
        <v>15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J11">
        <f t="shared" si="0"/>
        <v>700.44449999999995</v>
      </c>
      <c r="L11" s="11">
        <f t="shared" si="1"/>
        <v>1.1331868549185553</v>
      </c>
      <c r="M11" t="str">
        <v>Apr</v>
      </c>
      <c r="N11" t="s">
        <v>109</v>
      </c>
      <c r="O11">
        <v>0.14954551654117604</v>
      </c>
      <c r="Q11" s="12">
        <f t="shared" ca="1" si="2"/>
        <v>46094.541705439813</v>
      </c>
      <c r="S11" t="str">
        <v>CUST010</v>
      </c>
      <c r="T11" t="str">
        <v>David Thomas</v>
      </c>
    </row>
    <row r="12" spans="1:20" ht="29.4" thickBot="1" x14ac:dyDescent="0.35">
      <c r="A12" s="2" t="s">
        <v>37</v>
      </c>
      <c r="B12" s="2" t="s">
        <v>38</v>
      </c>
      <c r="C12" s="2" t="s">
        <v>11</v>
      </c>
      <c r="D12" s="2" t="s">
        <v>39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J12">
        <f t="shared" si="0"/>
        <v>1494.1789999999999</v>
      </c>
      <c r="L12" s="11">
        <f t="shared" si="1"/>
        <v>-0.14603705446268475</v>
      </c>
      <c r="M12" t="str">
        <v>Apr</v>
      </c>
      <c r="N12" t="s">
        <v>110</v>
      </c>
      <c r="O12">
        <v>1665.15</v>
      </c>
      <c r="Q12" s="12">
        <f t="shared" ca="1" si="2"/>
        <v>46094.541705439813</v>
      </c>
      <c r="S12" t="str">
        <v>CUST014</v>
      </c>
      <c r="T12" t="str">
        <v>Emma Davis</v>
      </c>
    </row>
    <row r="13" spans="1:20" ht="29.4" thickBot="1" x14ac:dyDescent="0.35">
      <c r="A13" s="2" t="s">
        <v>37</v>
      </c>
      <c r="B13" s="2" t="s">
        <v>36</v>
      </c>
      <c r="C13" s="2" t="s">
        <v>34</v>
      </c>
      <c r="D13" s="2" t="s">
        <v>12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J13">
        <f t="shared" si="0"/>
        <v>1141.6605000000002</v>
      </c>
      <c r="L13" s="11">
        <f t="shared" si="1"/>
        <v>-0.11283345618071235</v>
      </c>
      <c r="M13" t="str">
        <v>Apr</v>
      </c>
      <c r="N13" t="s">
        <v>111</v>
      </c>
      <c r="O13">
        <v>258.51</v>
      </c>
      <c r="Q13" s="12">
        <f t="shared" ca="1" si="2"/>
        <v>46094.541705439813</v>
      </c>
      <c r="S13" t="str">
        <v>CUST014</v>
      </c>
      <c r="T13" t="str">
        <v>David Thomas</v>
      </c>
    </row>
    <row r="14" spans="1:20" ht="29.4" thickBot="1" x14ac:dyDescent="0.35">
      <c r="A14" s="2" t="s">
        <v>25</v>
      </c>
      <c r="B14" s="2" t="s">
        <v>26</v>
      </c>
      <c r="C14" s="2" t="s">
        <v>34</v>
      </c>
      <c r="D14" s="2" t="s">
        <v>12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J14">
        <f t="shared" si="0"/>
        <v>1132.001</v>
      </c>
      <c r="L14" s="11">
        <f t="shared" si="1"/>
        <v>-0.30992463787576158</v>
      </c>
      <c r="M14" t="str">
        <v>Apr</v>
      </c>
      <c r="N14" t="s">
        <v>112</v>
      </c>
      <c r="O14">
        <v>1923.66</v>
      </c>
      <c r="Q14" s="12">
        <f t="shared" ca="1" si="2"/>
        <v>46094.541705439813</v>
      </c>
      <c r="S14" t="str">
        <v>CUST007</v>
      </c>
      <c r="T14" t="str">
        <v>Michael Anderson</v>
      </c>
    </row>
    <row r="15" spans="1:20" ht="29.4" thickBot="1" x14ac:dyDescent="0.35">
      <c r="A15" s="2" t="s">
        <v>40</v>
      </c>
      <c r="B15" s="2" t="s">
        <v>14</v>
      </c>
      <c r="C15" s="2" t="s">
        <v>11</v>
      </c>
      <c r="D15" s="2" t="s">
        <v>27</v>
      </c>
      <c r="E15" s="3">
        <v>822.28</v>
      </c>
      <c r="F15" s="3">
        <v>7</v>
      </c>
      <c r="G15" s="3">
        <v>0.05</v>
      </c>
      <c r="H15" s="4">
        <v>45406</v>
      </c>
      <c r="I15" s="3">
        <v>273.41000000000003</v>
      </c>
      <c r="J15">
        <f t="shared" si="0"/>
        <v>781.16599999999994</v>
      </c>
      <c r="L15" s="11">
        <f t="shared" si="1"/>
        <v>-0.36558106727635359</v>
      </c>
      <c r="M15" t="str">
        <v>Apr</v>
      </c>
      <c r="N15" t="s">
        <v>113</v>
      </c>
      <c r="O15">
        <v>194181.66999999993</v>
      </c>
      <c r="Q15" s="12">
        <f t="shared" ca="1" si="2"/>
        <v>46094.541705439813</v>
      </c>
      <c r="S15" t="str">
        <v>CUST023</v>
      </c>
      <c r="T15" t="str">
        <v>Robert Anderson</v>
      </c>
    </row>
    <row r="16" spans="1:20" ht="29.4" thickBot="1" x14ac:dyDescent="0.35">
      <c r="A16" s="2" t="s">
        <v>41</v>
      </c>
      <c r="B16" s="2" t="s">
        <v>42</v>
      </c>
      <c r="C16" s="2" t="s">
        <v>24</v>
      </c>
      <c r="D16" s="2" t="s">
        <v>27</v>
      </c>
      <c r="E16" s="3">
        <v>521.66999999999996</v>
      </c>
      <c r="F16" s="3">
        <v>15</v>
      </c>
      <c r="G16" s="3">
        <v>0.15</v>
      </c>
      <c r="H16" s="4">
        <v>45409</v>
      </c>
      <c r="I16" s="3">
        <v>155.19999999999999</v>
      </c>
      <c r="J16">
        <f t="shared" si="0"/>
        <v>443.41949999999997</v>
      </c>
      <c r="L16" s="11">
        <f t="shared" si="1"/>
        <v>1.8809975655107638</v>
      </c>
      <c r="M16" t="str">
        <v>Apr</v>
      </c>
      <c r="N16" s="8" t="s">
        <v>114</v>
      </c>
      <c r="O16" s="8">
        <v>199</v>
      </c>
      <c r="Q16" s="12">
        <f t="shared" ca="1" si="2"/>
        <v>46094.541705439813</v>
      </c>
      <c r="S16" t="str">
        <v>CUST029</v>
      </c>
      <c r="T16" t="str">
        <v>David Smith</v>
      </c>
    </row>
    <row r="17" spans="1:20" ht="29.4" thickBot="1" x14ac:dyDescent="0.35">
      <c r="A17" s="2" t="s">
        <v>19</v>
      </c>
      <c r="B17" s="2" t="s">
        <v>43</v>
      </c>
      <c r="C17" s="2" t="s">
        <v>20</v>
      </c>
      <c r="D17" s="2" t="s">
        <v>21</v>
      </c>
      <c r="E17" s="3">
        <v>1502.93</v>
      </c>
      <c r="F17" s="3">
        <v>14</v>
      </c>
      <c r="G17" s="3">
        <v>0.2</v>
      </c>
      <c r="H17" s="4">
        <v>45410</v>
      </c>
      <c r="I17" s="3">
        <v>300.58999999999997</v>
      </c>
      <c r="J17">
        <f t="shared" si="0"/>
        <v>1202.3440000000001</v>
      </c>
      <c r="L17" s="11">
        <f t="shared" si="1"/>
        <v>-0.41608724291883187</v>
      </c>
      <c r="M17" t="str">
        <v>Apr</v>
      </c>
      <c r="Q17" s="12">
        <f t="shared" ca="1" si="2"/>
        <v>46094.541705439813</v>
      </c>
      <c r="S17" t="str">
        <v>CUST005</v>
      </c>
      <c r="T17" t="str">
        <v>Sarah Anderson</v>
      </c>
    </row>
    <row r="18" spans="1:20" ht="29.4" thickBot="1" x14ac:dyDescent="0.35">
      <c r="A18" s="2" t="s">
        <v>44</v>
      </c>
      <c r="B18" s="2" t="s">
        <v>14</v>
      </c>
      <c r="C18" s="2" t="s">
        <v>20</v>
      </c>
      <c r="D18" s="2" t="s">
        <v>12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J18">
        <f t="shared" si="0"/>
        <v>745.94299999999998</v>
      </c>
      <c r="L18" s="11">
        <f t="shared" si="1"/>
        <v>-0.27448209849814259</v>
      </c>
      <c r="M18" t="str">
        <v>Apr</v>
      </c>
      <c r="Q18" s="12">
        <f t="shared" ca="1" si="2"/>
        <v>46094.541705439813</v>
      </c>
      <c r="S18" t="str">
        <v>CUST008</v>
      </c>
      <c r="T18" t="str">
        <v>Robert Anderson</v>
      </c>
    </row>
    <row r="19" spans="1:20" ht="29.4" thickBot="1" x14ac:dyDescent="0.35">
      <c r="A19" s="2" t="s">
        <v>28</v>
      </c>
      <c r="B19" s="2" t="s">
        <v>45</v>
      </c>
      <c r="C19" s="2" t="s">
        <v>11</v>
      </c>
      <c r="D19" s="2" t="s">
        <v>12</v>
      </c>
      <c r="E19" s="3">
        <v>636.70000000000005</v>
      </c>
      <c r="F19" s="3">
        <v>4</v>
      </c>
      <c r="G19" s="3">
        <v>0.2</v>
      </c>
      <c r="H19" s="4">
        <v>45411</v>
      </c>
      <c r="I19" s="3">
        <v>203.74</v>
      </c>
      <c r="J19">
        <f t="shared" si="0"/>
        <v>509.36</v>
      </c>
      <c r="L19" s="11">
        <f t="shared" si="1"/>
        <v>1.3655410711481075</v>
      </c>
      <c r="M19" t="str">
        <v>Apr</v>
      </c>
      <c r="Q19" s="12">
        <f t="shared" ca="1" si="2"/>
        <v>46094.541705439813</v>
      </c>
      <c r="S19" t="str">
        <v>CUST001</v>
      </c>
      <c r="T19" t="str">
        <v>Lisa Thomas</v>
      </c>
    </row>
    <row r="20" spans="1:20" ht="29.4" thickBot="1" x14ac:dyDescent="0.35">
      <c r="A20" s="2" t="s">
        <v>46</v>
      </c>
      <c r="B20" s="2" t="s">
        <v>47</v>
      </c>
      <c r="C20" s="2" t="s">
        <v>11</v>
      </c>
      <c r="D20" s="2" t="s">
        <v>12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J20">
        <f t="shared" si="0"/>
        <v>1204.912</v>
      </c>
      <c r="L20" s="11">
        <f t="shared" si="1"/>
        <v>-0.57173967891431077</v>
      </c>
      <c r="M20" t="str">
        <v>Apr</v>
      </c>
      <c r="Q20" s="12">
        <f t="shared" ca="1" si="2"/>
        <v>46094.541705439813</v>
      </c>
      <c r="S20" t="str">
        <v>CUST006</v>
      </c>
      <c r="T20" t="str">
        <v>Mary Jackson</v>
      </c>
    </row>
    <row r="21" spans="1:20" ht="29.4" thickBot="1" x14ac:dyDescent="0.35">
      <c r="A21" s="2" t="s">
        <v>30</v>
      </c>
      <c r="B21" s="2" t="s">
        <v>31</v>
      </c>
      <c r="C21" s="2" t="s">
        <v>34</v>
      </c>
      <c r="D21" s="2" t="s">
        <v>21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J21">
        <f t="shared" si="0"/>
        <v>645.02</v>
      </c>
      <c r="L21" s="11">
        <f t="shared" si="1"/>
        <v>0.47793866856841644</v>
      </c>
      <c r="M21" t="str">
        <v>May</v>
      </c>
      <c r="Q21" s="12">
        <f t="shared" ca="1" si="2"/>
        <v>46094.541705439813</v>
      </c>
      <c r="S21" t="str">
        <v>CUST026</v>
      </c>
      <c r="T21" t="str">
        <v>Mary Davis</v>
      </c>
    </row>
    <row r="22" spans="1:20" ht="15" thickBot="1" x14ac:dyDescent="0.35">
      <c r="A22" s="2" t="s">
        <v>25</v>
      </c>
      <c r="B22" s="2" t="s">
        <v>48</v>
      </c>
      <c r="C22" s="2" t="s">
        <v>20</v>
      </c>
      <c r="D22" s="2" t="s">
        <v>15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J22">
        <f t="shared" si="0"/>
        <v>953.3</v>
      </c>
      <c r="L22" s="11">
        <f t="shared" si="1"/>
        <v>-0.5924053288576524</v>
      </c>
      <c r="M22" t="str">
        <v>May</v>
      </c>
      <c r="Q22" s="12">
        <f t="shared" ca="1" si="2"/>
        <v>46094.541705439813</v>
      </c>
      <c r="S22" t="str">
        <v>CUST007</v>
      </c>
      <c r="T22" t="str">
        <v>Lisa Davis</v>
      </c>
    </row>
    <row r="23" spans="1:20" ht="29.4" thickBot="1" x14ac:dyDescent="0.35">
      <c r="A23" s="2" t="s">
        <v>49</v>
      </c>
      <c r="B23" s="2" t="s">
        <v>14</v>
      </c>
      <c r="C23" s="2" t="s">
        <v>24</v>
      </c>
      <c r="D23" s="2" t="s">
        <v>21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J23">
        <f t="shared" si="0"/>
        <v>330.27600000000001</v>
      </c>
      <c r="L23" s="11">
        <f t="shared" si="1"/>
        <v>0.9126261066501955</v>
      </c>
      <c r="M23" t="str">
        <v>May</v>
      </c>
      <c r="Q23" s="12">
        <f t="shared" ca="1" si="2"/>
        <v>46094.541705439813</v>
      </c>
      <c r="S23" t="str">
        <v>CUST022</v>
      </c>
      <c r="T23" t="str">
        <v>Robert Anderson</v>
      </c>
    </row>
    <row r="24" spans="1:20" ht="29.4" thickBot="1" x14ac:dyDescent="0.35">
      <c r="A24" s="2" t="s">
        <v>9</v>
      </c>
      <c r="B24" s="2" t="s">
        <v>31</v>
      </c>
      <c r="C24" s="2" t="s">
        <v>11</v>
      </c>
      <c r="D24" s="2" t="s">
        <v>12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J24">
        <f t="shared" si="0"/>
        <v>743.17</v>
      </c>
      <c r="L24" s="11">
        <f t="shared" si="1"/>
        <v>-4.95176070078178E-2</v>
      </c>
      <c r="M24" t="str">
        <v>May</v>
      </c>
      <c r="Q24" s="12">
        <f t="shared" ca="1" si="2"/>
        <v>46094.541705439813</v>
      </c>
      <c r="S24" t="str">
        <v>CUST019</v>
      </c>
      <c r="T24" t="str">
        <v>Mary Davis</v>
      </c>
    </row>
    <row r="25" spans="1:20" ht="29.4" thickBot="1" x14ac:dyDescent="0.35">
      <c r="A25" s="2" t="s">
        <v>40</v>
      </c>
      <c r="B25" s="2" t="s">
        <v>31</v>
      </c>
      <c r="C25" s="2" t="s">
        <v>34</v>
      </c>
      <c r="D25" s="2" t="s">
        <v>21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J25">
        <f t="shared" si="0"/>
        <v>706.37</v>
      </c>
      <c r="L25" s="11">
        <f t="shared" si="1"/>
        <v>0.3099508756034372</v>
      </c>
      <c r="M25" t="str">
        <v>May</v>
      </c>
      <c r="Q25" s="12">
        <f t="shared" ca="1" si="2"/>
        <v>46094.541705439813</v>
      </c>
      <c r="S25" t="str">
        <v>CUST023</v>
      </c>
      <c r="T25" t="str">
        <v>Mary Davis</v>
      </c>
    </row>
    <row r="26" spans="1:20" ht="29.4" thickBot="1" x14ac:dyDescent="0.35">
      <c r="A26" s="2" t="s">
        <v>13</v>
      </c>
      <c r="B26" s="2" t="s">
        <v>31</v>
      </c>
      <c r="C26" s="2" t="s">
        <v>34</v>
      </c>
      <c r="D26" s="2" t="s">
        <v>39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J26">
        <f t="shared" si="0"/>
        <v>832.779</v>
      </c>
      <c r="L26" s="11">
        <f t="shared" si="1"/>
        <v>0.26781294917379034</v>
      </c>
      <c r="M26" t="str">
        <v>May</v>
      </c>
      <c r="Q26" s="12">
        <f t="shared" ca="1" si="2"/>
        <v>46094.541705439813</v>
      </c>
      <c r="S26" t="str">
        <v>CUST012</v>
      </c>
      <c r="T26" t="str">
        <v>Mary Davis</v>
      </c>
    </row>
    <row r="27" spans="1:20" ht="29.4" thickBot="1" x14ac:dyDescent="0.35">
      <c r="A27" s="2" t="s">
        <v>35</v>
      </c>
      <c r="B27" s="2" t="s">
        <v>50</v>
      </c>
      <c r="C27" s="2" t="s">
        <v>20</v>
      </c>
      <c r="D27" s="2" t="s">
        <v>21</v>
      </c>
      <c r="E27" s="3">
        <v>1173.1199999999999</v>
      </c>
      <c r="F27" s="3">
        <v>18</v>
      </c>
      <c r="G27" s="3">
        <v>0</v>
      </c>
      <c r="H27" s="4">
        <v>45418</v>
      </c>
      <c r="I27" s="3">
        <v>293.27999999999997</v>
      </c>
      <c r="J27">
        <f t="shared" si="0"/>
        <v>1173.1199999999999</v>
      </c>
      <c r="L27" s="11">
        <f t="shared" si="1"/>
        <v>-0.42415098199672663</v>
      </c>
      <c r="M27" t="str">
        <v>May</v>
      </c>
      <c r="Q27" s="12">
        <f t="shared" ca="1" si="2"/>
        <v>46094.541705439813</v>
      </c>
      <c r="S27" t="str">
        <v>CUST010</v>
      </c>
      <c r="T27" t="str">
        <v>Linda Brown</v>
      </c>
    </row>
    <row r="28" spans="1:20" ht="29.4" thickBot="1" x14ac:dyDescent="0.35">
      <c r="A28" s="2" t="s">
        <v>22</v>
      </c>
      <c r="B28" s="2" t="s">
        <v>51</v>
      </c>
      <c r="C28" s="2" t="s">
        <v>24</v>
      </c>
      <c r="D28" s="2" t="s">
        <v>27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J28">
        <f t="shared" si="0"/>
        <v>675.54</v>
      </c>
      <c r="L28" s="11">
        <f t="shared" si="1"/>
        <v>0.3901323385735857</v>
      </c>
      <c r="M28" t="str">
        <v>May</v>
      </c>
      <c r="Q28" s="12">
        <f t="shared" ca="1" si="2"/>
        <v>46094.541705439813</v>
      </c>
      <c r="S28" t="str">
        <v>CUST030</v>
      </c>
      <c r="T28" t="str">
        <v>John Brown</v>
      </c>
    </row>
    <row r="29" spans="1:20" ht="29.4" thickBot="1" x14ac:dyDescent="0.35">
      <c r="A29" s="2" t="s">
        <v>25</v>
      </c>
      <c r="B29" s="2" t="s">
        <v>14</v>
      </c>
      <c r="C29" s="2" t="s">
        <v>34</v>
      </c>
      <c r="D29" s="2" t="s">
        <v>12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J29">
        <f t="shared" si="0"/>
        <v>892.13549999999998</v>
      </c>
      <c r="L29" s="11">
        <f t="shared" si="1"/>
        <v>4.7120084336964504E-2</v>
      </c>
      <c r="M29" t="str">
        <v>May</v>
      </c>
      <c r="Q29" s="12">
        <f t="shared" ca="1" si="2"/>
        <v>46094.541705439813</v>
      </c>
      <c r="S29" t="str">
        <v>CUST007</v>
      </c>
      <c r="T29" t="str">
        <v>Robert Anderson</v>
      </c>
    </row>
    <row r="30" spans="1:20" ht="29.4" thickBot="1" x14ac:dyDescent="0.35">
      <c r="A30" s="2" t="s">
        <v>52</v>
      </c>
      <c r="B30" s="2" t="s">
        <v>53</v>
      </c>
      <c r="C30" s="2" t="s">
        <v>18</v>
      </c>
      <c r="D30" s="2" t="s">
        <v>39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J30">
        <f t="shared" si="0"/>
        <v>885.00600000000009</v>
      </c>
      <c r="L30" s="11">
        <f t="shared" si="1"/>
        <v>-0.18521569345292574</v>
      </c>
      <c r="M30" t="str">
        <v>May</v>
      </c>
      <c r="Q30" s="12">
        <f t="shared" ca="1" si="2"/>
        <v>46094.541705439813</v>
      </c>
      <c r="S30" t="str">
        <v>CUST028</v>
      </c>
      <c r="T30" t="str">
        <v>Linda Taylor</v>
      </c>
    </row>
    <row r="31" spans="1:20" ht="29.4" thickBot="1" x14ac:dyDescent="0.35">
      <c r="A31" s="2" t="s">
        <v>52</v>
      </c>
      <c r="B31" s="2" t="s">
        <v>23</v>
      </c>
      <c r="C31" s="2" t="s">
        <v>20</v>
      </c>
      <c r="D31" s="2" t="s">
        <v>21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J31">
        <f t="shared" si="0"/>
        <v>640.96800000000007</v>
      </c>
      <c r="L31" s="11">
        <f t="shared" si="1"/>
        <v>0.81064889354850789</v>
      </c>
      <c r="M31" t="str">
        <v>May</v>
      </c>
      <c r="Q31" s="12">
        <f t="shared" ca="1" si="2"/>
        <v>46094.541705439813</v>
      </c>
      <c r="S31" t="str">
        <v>CUST028</v>
      </c>
      <c r="T31" t="str">
        <v>James Wilson</v>
      </c>
    </row>
    <row r="32" spans="1:20" ht="29.4" thickBot="1" x14ac:dyDescent="0.35">
      <c r="A32" s="2" t="s">
        <v>54</v>
      </c>
      <c r="B32" s="2" t="s">
        <v>55</v>
      </c>
      <c r="C32" s="2" t="s">
        <v>24</v>
      </c>
      <c r="D32" s="2" t="s">
        <v>21</v>
      </c>
      <c r="E32" s="3">
        <v>1450.71</v>
      </c>
      <c r="F32" s="3">
        <v>5</v>
      </c>
      <c r="G32" s="3">
        <v>0.1</v>
      </c>
      <c r="H32" s="4">
        <v>45427</v>
      </c>
      <c r="I32" s="3">
        <v>326.41000000000003</v>
      </c>
      <c r="J32">
        <f t="shared" si="0"/>
        <v>1305.6390000000001</v>
      </c>
      <c r="L32" s="11">
        <f t="shared" si="1"/>
        <v>-0.29468329300825113</v>
      </c>
      <c r="M32" t="str">
        <v>May</v>
      </c>
      <c r="Q32" s="12">
        <f t="shared" ca="1" si="2"/>
        <v>46094.541705439813</v>
      </c>
      <c r="S32" t="str">
        <v>CUST025</v>
      </c>
      <c r="T32" t="str">
        <v>David Brown</v>
      </c>
    </row>
    <row r="33" spans="1:20" ht="29.4" thickBot="1" x14ac:dyDescent="0.35">
      <c r="A33" s="2" t="s">
        <v>49</v>
      </c>
      <c r="B33" s="2" t="s">
        <v>56</v>
      </c>
      <c r="C33" s="2" t="s">
        <v>34</v>
      </c>
      <c r="D33" s="2" t="s">
        <v>12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J33">
        <f t="shared" si="0"/>
        <v>972.04950000000008</v>
      </c>
      <c r="L33" s="11">
        <f t="shared" si="1"/>
        <v>-0.16564537094047166</v>
      </c>
      <c r="M33" t="str">
        <v>May</v>
      </c>
      <c r="Q33" s="12">
        <f t="shared" ca="1" si="2"/>
        <v>46094.541705439813</v>
      </c>
      <c r="S33" t="str">
        <v>CUST022</v>
      </c>
      <c r="T33" t="str">
        <v>David Davis</v>
      </c>
    </row>
    <row r="34" spans="1:20" ht="29.4" thickBot="1" x14ac:dyDescent="0.35">
      <c r="A34" s="2" t="s">
        <v>28</v>
      </c>
      <c r="B34" s="2" t="s">
        <v>47</v>
      </c>
      <c r="C34" s="2" t="s">
        <v>11</v>
      </c>
      <c r="D34" s="2" t="s">
        <v>27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J34">
        <f t="shared" si="0"/>
        <v>725.66200000000003</v>
      </c>
      <c r="L34" s="11">
        <f t="shared" si="1"/>
        <v>0.13373237126926857</v>
      </c>
      <c r="M34" t="str">
        <v>May</v>
      </c>
      <c r="Q34" s="12">
        <f t="shared" ca="1" si="2"/>
        <v>46094.541705439813</v>
      </c>
      <c r="S34" t="str">
        <v>CUST001</v>
      </c>
      <c r="T34" t="str">
        <v>Mary Jackson</v>
      </c>
    </row>
    <row r="35" spans="1:20" ht="29.4" thickBot="1" x14ac:dyDescent="0.35">
      <c r="A35" s="2" t="s">
        <v>57</v>
      </c>
      <c r="B35" s="2" t="s">
        <v>43</v>
      </c>
      <c r="C35" s="2" t="s">
        <v>20</v>
      </c>
      <c r="D35" s="2" t="s">
        <v>21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J35">
        <f t="shared" si="0"/>
        <v>871.101</v>
      </c>
      <c r="L35" s="11">
        <f t="shared" si="1"/>
        <v>0.24074016675448667</v>
      </c>
      <c r="M35" t="str">
        <v>May</v>
      </c>
      <c r="Q35" s="12">
        <f t="shared" ca="1" si="2"/>
        <v>46094.541705439813</v>
      </c>
      <c r="S35" t="str">
        <v>CUST021</v>
      </c>
      <c r="T35" t="str">
        <v>Sarah Anderson</v>
      </c>
    </row>
    <row r="36" spans="1:20" ht="29.4" thickBot="1" x14ac:dyDescent="0.35">
      <c r="A36" s="2" t="s">
        <v>58</v>
      </c>
      <c r="B36" s="2" t="s">
        <v>53</v>
      </c>
      <c r="C36" s="2" t="s">
        <v>24</v>
      </c>
      <c r="D36" s="2" t="s">
        <v>39</v>
      </c>
      <c r="E36" s="3">
        <v>1200.9000000000001</v>
      </c>
      <c r="F36" s="3">
        <v>14</v>
      </c>
      <c r="G36" s="3">
        <v>0.05</v>
      </c>
      <c r="H36" s="4">
        <v>45429</v>
      </c>
      <c r="I36" s="3">
        <v>513.38</v>
      </c>
      <c r="J36">
        <f t="shared" si="0"/>
        <v>1140.855</v>
      </c>
      <c r="L36" s="11">
        <f t="shared" si="1"/>
        <v>-0.60664501623782163</v>
      </c>
      <c r="M36" t="str">
        <v>May</v>
      </c>
      <c r="Q36" s="12">
        <f t="shared" ca="1" si="2"/>
        <v>46094.541705439813</v>
      </c>
      <c r="S36" t="str">
        <v>CUST015</v>
      </c>
      <c r="T36" t="str">
        <v>Linda Taylor</v>
      </c>
    </row>
    <row r="37" spans="1:20" ht="29.4" thickBot="1" x14ac:dyDescent="0.35">
      <c r="A37" s="2" t="s">
        <v>13</v>
      </c>
      <c r="B37" s="2" t="s">
        <v>26</v>
      </c>
      <c r="C37" s="2" t="s">
        <v>11</v>
      </c>
      <c r="D37" s="2" t="s">
        <v>12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J37">
        <f t="shared" si="0"/>
        <v>377.904</v>
      </c>
      <c r="L37" s="11">
        <f t="shared" si="1"/>
        <v>0.78017697616325832</v>
      </c>
      <c r="M37" t="str">
        <v>May</v>
      </c>
      <c r="Q37" s="12">
        <f t="shared" ca="1" si="2"/>
        <v>46094.541705439813</v>
      </c>
      <c r="S37" t="str">
        <v>CUST012</v>
      </c>
      <c r="T37" t="str">
        <v>Michael Anderson</v>
      </c>
    </row>
    <row r="38" spans="1:20" ht="29.4" thickBot="1" x14ac:dyDescent="0.35">
      <c r="A38" s="2" t="s">
        <v>9</v>
      </c>
      <c r="B38" s="2" t="s">
        <v>55</v>
      </c>
      <c r="C38" s="2" t="s">
        <v>18</v>
      </c>
      <c r="D38" s="2" t="s">
        <v>39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J38">
        <f t="shared" si="0"/>
        <v>798.87399999999991</v>
      </c>
      <c r="L38" s="11">
        <f t="shared" si="1"/>
        <v>0.67680635494458452</v>
      </c>
      <c r="M38" t="str">
        <v>May</v>
      </c>
      <c r="Q38" s="12">
        <f t="shared" ca="1" si="2"/>
        <v>46094.541705439813</v>
      </c>
      <c r="S38" t="str">
        <v>CUST019</v>
      </c>
      <c r="T38" t="str">
        <v>David Brown</v>
      </c>
    </row>
    <row r="39" spans="1:20" ht="15" thickBot="1" x14ac:dyDescent="0.35">
      <c r="A39" s="2" t="s">
        <v>52</v>
      </c>
      <c r="B39" s="2" t="s">
        <v>48</v>
      </c>
      <c r="C39" s="2" t="s">
        <v>34</v>
      </c>
      <c r="D39" s="2" t="s">
        <v>27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J39">
        <f t="shared" si="0"/>
        <v>1339.557</v>
      </c>
      <c r="L39" s="11">
        <f t="shared" si="1"/>
        <v>-0.4517325503879267</v>
      </c>
      <c r="M39" t="str">
        <v>May</v>
      </c>
      <c r="Q39" s="12">
        <f t="shared" ca="1" si="2"/>
        <v>46094.541705439813</v>
      </c>
      <c r="S39" t="str">
        <v>CUST028</v>
      </c>
      <c r="T39" t="str">
        <v>Lisa Davis</v>
      </c>
    </row>
    <row r="40" spans="1:20" ht="29.4" thickBot="1" x14ac:dyDescent="0.35">
      <c r="A40" s="2" t="s">
        <v>44</v>
      </c>
      <c r="B40" s="2" t="s">
        <v>59</v>
      </c>
      <c r="C40" s="2" t="s">
        <v>34</v>
      </c>
      <c r="D40" s="2" t="s">
        <v>27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J40">
        <f t="shared" si="0"/>
        <v>657.12650000000008</v>
      </c>
      <c r="L40" s="11">
        <f t="shared" si="1"/>
        <v>-0.24920772484445547</v>
      </c>
      <c r="M40" t="str">
        <v>May</v>
      </c>
      <c r="Q40" s="12">
        <f t="shared" ca="1" si="2"/>
        <v>46094.541705439813</v>
      </c>
      <c r="S40" t="str">
        <v>CUST008</v>
      </c>
      <c r="T40" t="str">
        <v>Mary Wilson</v>
      </c>
    </row>
    <row r="41" spans="1:20" ht="29.4" thickBot="1" x14ac:dyDescent="0.35">
      <c r="A41" s="2" t="s">
        <v>60</v>
      </c>
      <c r="B41" s="2" t="s">
        <v>61</v>
      </c>
      <c r="C41" s="2" t="s">
        <v>18</v>
      </c>
      <c r="D41" s="2" t="s">
        <v>12</v>
      </c>
      <c r="E41" s="3">
        <v>580.42999999999995</v>
      </c>
      <c r="F41" s="3">
        <v>19</v>
      </c>
      <c r="G41" s="3">
        <v>0.15</v>
      </c>
      <c r="H41" s="4">
        <v>45435</v>
      </c>
      <c r="I41" s="3">
        <v>197.35</v>
      </c>
      <c r="J41">
        <f t="shared" si="0"/>
        <v>493.36549999999994</v>
      </c>
      <c r="L41" s="11">
        <f t="shared" si="1"/>
        <v>0.98337439484520117</v>
      </c>
      <c r="M41" t="str">
        <v>May</v>
      </c>
      <c r="Q41" s="12">
        <f t="shared" ca="1" si="2"/>
        <v>46094.541705439813</v>
      </c>
      <c r="S41" t="str">
        <v>CUST016</v>
      </c>
      <c r="T41" t="str">
        <v>Emma Wilson</v>
      </c>
    </row>
    <row r="42" spans="1:20" ht="29.4" thickBot="1" x14ac:dyDescent="0.35">
      <c r="A42" s="2" t="s">
        <v>19</v>
      </c>
      <c r="B42" s="2" t="s">
        <v>42</v>
      </c>
      <c r="C42" s="2" t="s">
        <v>20</v>
      </c>
      <c r="D42" s="2" t="s">
        <v>12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J42">
        <f t="shared" si="0"/>
        <v>1036.0889999999999</v>
      </c>
      <c r="L42" s="11">
        <f t="shared" si="1"/>
        <v>-0.10878119543784368</v>
      </c>
      <c r="M42" t="str">
        <v>Jun</v>
      </c>
      <c r="Q42" s="12">
        <f t="shared" ca="1" si="2"/>
        <v>46094.541705439813</v>
      </c>
      <c r="S42" t="str">
        <v>CUST005</v>
      </c>
      <c r="T42" t="str">
        <v>David Smith</v>
      </c>
    </row>
    <row r="43" spans="1:20" ht="29.4" thickBot="1" x14ac:dyDescent="0.35">
      <c r="A43" s="2" t="s">
        <v>52</v>
      </c>
      <c r="B43" s="2" t="s">
        <v>23</v>
      </c>
      <c r="C43" s="2" t="s">
        <v>34</v>
      </c>
      <c r="D43" s="2" t="s">
        <v>39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J43">
        <f t="shared" si="0"/>
        <v>820.78399999999999</v>
      </c>
      <c r="L43" s="11">
        <f t="shared" si="1"/>
        <v>-0.45766974015088019</v>
      </c>
      <c r="M43" t="str">
        <v>Jun</v>
      </c>
      <c r="Q43" s="12">
        <f t="shared" ca="1" si="2"/>
        <v>46094.541705439813</v>
      </c>
      <c r="S43" t="str">
        <v>CUST028</v>
      </c>
      <c r="T43" t="str">
        <v>James Wilson</v>
      </c>
    </row>
    <row r="44" spans="1:20" ht="29.4" thickBot="1" x14ac:dyDescent="0.35">
      <c r="A44" s="2" t="s">
        <v>40</v>
      </c>
      <c r="B44" s="2" t="s">
        <v>56</v>
      </c>
      <c r="C44" s="2" t="s">
        <v>18</v>
      </c>
      <c r="D44" s="2" t="s">
        <v>39</v>
      </c>
      <c r="E44" s="3">
        <v>556.41999999999996</v>
      </c>
      <c r="F44" s="3">
        <v>11</v>
      </c>
      <c r="G44" s="3">
        <v>0.15</v>
      </c>
      <c r="H44" s="4">
        <v>45447</v>
      </c>
      <c r="I44" s="3">
        <v>212.83</v>
      </c>
      <c r="J44">
        <f t="shared" si="0"/>
        <v>472.95699999999999</v>
      </c>
      <c r="L44" s="11">
        <f t="shared" si="1"/>
        <v>0.51117860608892574</v>
      </c>
      <c r="M44" t="str">
        <v>Jun</v>
      </c>
      <c r="Q44" s="12">
        <f t="shared" ca="1" si="2"/>
        <v>46094.541705439813</v>
      </c>
      <c r="S44" t="str">
        <v>CUST023</v>
      </c>
      <c r="T44" t="str">
        <v>David Davis</v>
      </c>
    </row>
    <row r="45" spans="1:20" ht="29.4" thickBot="1" x14ac:dyDescent="0.35">
      <c r="A45" s="2" t="s">
        <v>57</v>
      </c>
      <c r="B45" s="2" t="s">
        <v>23</v>
      </c>
      <c r="C45" s="2" t="s">
        <v>34</v>
      </c>
      <c r="D45" s="2" t="s">
        <v>12</v>
      </c>
      <c r="E45" s="3">
        <v>840.85</v>
      </c>
      <c r="F45" s="3">
        <v>19</v>
      </c>
      <c r="G45" s="3">
        <v>0.1</v>
      </c>
      <c r="H45" s="4">
        <v>45448</v>
      </c>
      <c r="I45" s="3">
        <v>302.70999999999998</v>
      </c>
      <c r="J45">
        <f t="shared" si="0"/>
        <v>756.76499999999999</v>
      </c>
      <c r="L45" s="11">
        <f t="shared" si="1"/>
        <v>0.45953499435095435</v>
      </c>
      <c r="M45" t="str">
        <v>Jun</v>
      </c>
      <c r="Q45" s="12">
        <f t="shared" ca="1" si="2"/>
        <v>46094.541705439813</v>
      </c>
      <c r="S45" t="str">
        <v>CUST021</v>
      </c>
      <c r="T45" t="str">
        <v>James Wilson</v>
      </c>
    </row>
    <row r="46" spans="1:20" ht="29.4" thickBot="1" x14ac:dyDescent="0.35">
      <c r="A46" s="2" t="s">
        <v>30</v>
      </c>
      <c r="B46" s="2" t="s">
        <v>61</v>
      </c>
      <c r="C46" s="2" t="s">
        <v>24</v>
      </c>
      <c r="D46" s="2" t="s">
        <v>27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J46">
        <f t="shared" si="0"/>
        <v>1043.1624999999999</v>
      </c>
      <c r="L46" s="11">
        <f t="shared" si="1"/>
        <v>-0.3019352210226115</v>
      </c>
      <c r="M46" t="str">
        <v>Jun</v>
      </c>
      <c r="Q46" s="12">
        <f t="shared" ca="1" si="2"/>
        <v>46094.541705439813</v>
      </c>
      <c r="S46" t="str">
        <v>CUST026</v>
      </c>
      <c r="T46" t="str">
        <v>Emma Wilson</v>
      </c>
    </row>
    <row r="47" spans="1:20" ht="29.4" thickBot="1" x14ac:dyDescent="0.35">
      <c r="A47" s="2" t="s">
        <v>16</v>
      </c>
      <c r="B47" s="2" t="s">
        <v>62</v>
      </c>
      <c r="C47" s="2" t="s">
        <v>34</v>
      </c>
      <c r="D47" s="2" t="s">
        <v>21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J47">
        <f t="shared" si="0"/>
        <v>856.7</v>
      </c>
      <c r="L47" s="11">
        <f t="shared" si="1"/>
        <v>0.4303957044472978</v>
      </c>
      <c r="M47" t="str">
        <v>Jun</v>
      </c>
      <c r="Q47" s="12">
        <f t="shared" ca="1" si="2"/>
        <v>46094.541705439813</v>
      </c>
      <c r="S47" t="str">
        <v>CUST017</v>
      </c>
      <c r="T47" t="str">
        <v>Linda Davis</v>
      </c>
    </row>
    <row r="48" spans="1:20" ht="29.4" thickBot="1" x14ac:dyDescent="0.35">
      <c r="A48" s="2" t="s">
        <v>54</v>
      </c>
      <c r="B48" s="2" t="s">
        <v>56</v>
      </c>
      <c r="C48" s="2" t="s">
        <v>34</v>
      </c>
      <c r="D48" s="2" t="s">
        <v>39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J48">
        <f t="shared" si="0"/>
        <v>1041.607</v>
      </c>
      <c r="L48" s="11">
        <f t="shared" si="1"/>
        <v>-0.18267206345579476</v>
      </c>
      <c r="M48" t="str">
        <v>Jun</v>
      </c>
      <c r="Q48" s="12">
        <f t="shared" ca="1" si="2"/>
        <v>46094.541705439813</v>
      </c>
      <c r="S48" t="str">
        <v>CUST025</v>
      </c>
      <c r="T48" t="str">
        <v>David Davis</v>
      </c>
    </row>
    <row r="49" spans="1:20" ht="29.4" thickBot="1" x14ac:dyDescent="0.35">
      <c r="A49" s="2" t="s">
        <v>63</v>
      </c>
      <c r="B49" s="2" t="s">
        <v>31</v>
      </c>
      <c r="C49" s="2" t="s">
        <v>24</v>
      </c>
      <c r="D49" s="2" t="s">
        <v>39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J49">
        <f t="shared" si="0"/>
        <v>1001.57</v>
      </c>
      <c r="L49" s="11">
        <f t="shared" si="1"/>
        <v>0.18498956638078201</v>
      </c>
      <c r="M49" t="str">
        <v>Jun</v>
      </c>
      <c r="Q49" s="12">
        <f t="shared" ca="1" si="2"/>
        <v>46094.541705439813</v>
      </c>
      <c r="S49" t="str">
        <v>CUST011</v>
      </c>
      <c r="T49" t="str">
        <v>Mary Davis</v>
      </c>
    </row>
    <row r="50" spans="1:20" ht="29.4" thickBot="1" x14ac:dyDescent="0.35">
      <c r="A50" s="2" t="s">
        <v>57</v>
      </c>
      <c r="B50" s="2" t="s">
        <v>26</v>
      </c>
      <c r="C50" s="2" t="s">
        <v>18</v>
      </c>
      <c r="D50" s="2" t="s">
        <v>27</v>
      </c>
      <c r="E50" s="3">
        <v>1186.8499999999999</v>
      </c>
      <c r="F50" s="3">
        <v>19</v>
      </c>
      <c r="G50" s="3">
        <v>0.2</v>
      </c>
      <c r="H50" s="4">
        <v>45451</v>
      </c>
      <c r="I50" s="3">
        <v>332.32</v>
      </c>
      <c r="J50">
        <f t="shared" si="0"/>
        <v>949.4799999999999</v>
      </c>
      <c r="L50" s="11">
        <f t="shared" si="1"/>
        <v>-0.34663184058642615</v>
      </c>
      <c r="M50" t="str">
        <v>Jun</v>
      </c>
      <c r="Q50" s="12">
        <f t="shared" ca="1" si="2"/>
        <v>46094.541705439813</v>
      </c>
      <c r="S50" t="str">
        <v>CUST021</v>
      </c>
      <c r="T50" t="str">
        <v>Michael Anderson</v>
      </c>
    </row>
    <row r="51" spans="1:20" ht="29.4" thickBot="1" x14ac:dyDescent="0.35">
      <c r="A51" s="2" t="s">
        <v>44</v>
      </c>
      <c r="B51" s="2" t="s">
        <v>51</v>
      </c>
      <c r="C51" s="2" t="s">
        <v>20</v>
      </c>
      <c r="D51" s="2" t="s">
        <v>21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J51">
        <f t="shared" si="0"/>
        <v>697.90499999999997</v>
      </c>
      <c r="L51" s="11">
        <f t="shared" si="1"/>
        <v>0.3172609452575923</v>
      </c>
      <c r="M51" t="str">
        <v>Jun</v>
      </c>
      <c r="Q51" s="12">
        <f t="shared" ca="1" si="2"/>
        <v>46094.541705439813</v>
      </c>
      <c r="S51" t="str">
        <v>CUST008</v>
      </c>
      <c r="T51" t="str">
        <v>John Brown</v>
      </c>
    </row>
    <row r="52" spans="1:20" ht="29.4" thickBot="1" x14ac:dyDescent="0.35">
      <c r="A52" s="2" t="s">
        <v>25</v>
      </c>
      <c r="B52" s="2" t="s">
        <v>33</v>
      </c>
      <c r="C52" s="2" t="s">
        <v>20</v>
      </c>
      <c r="D52" s="2" t="s">
        <v>21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J52">
        <f t="shared" si="0"/>
        <v>970.39650000000006</v>
      </c>
      <c r="L52" s="11">
        <f t="shared" si="1"/>
        <v>0.20083800796890741</v>
      </c>
      <c r="M52" t="str">
        <v>Jun</v>
      </c>
      <c r="Q52" s="12">
        <f t="shared" ca="1" si="2"/>
        <v>46094.541705439813</v>
      </c>
      <c r="S52" t="str">
        <v>CUST007</v>
      </c>
      <c r="T52" t="str">
        <v>Linda Jackson</v>
      </c>
    </row>
    <row r="53" spans="1:20" ht="29.4" thickBot="1" x14ac:dyDescent="0.35">
      <c r="A53" s="2" t="s">
        <v>58</v>
      </c>
      <c r="B53" s="2" t="s">
        <v>23</v>
      </c>
      <c r="C53" s="2" t="s">
        <v>20</v>
      </c>
      <c r="D53" s="2" t="s">
        <v>15</v>
      </c>
      <c r="E53" s="3">
        <v>1226.6199999999999</v>
      </c>
      <c r="F53" s="3">
        <v>7</v>
      </c>
      <c r="G53" s="3">
        <v>0.1</v>
      </c>
      <c r="H53" s="4">
        <v>45463</v>
      </c>
      <c r="I53" s="3">
        <v>551.98</v>
      </c>
      <c r="J53">
        <f t="shared" si="0"/>
        <v>1103.9579999999999</v>
      </c>
      <c r="L53" s="11">
        <f t="shared" si="1"/>
        <v>-0.11388204986059239</v>
      </c>
      <c r="M53" t="str">
        <v>Jun</v>
      </c>
      <c r="Q53" s="12">
        <f t="shared" ca="1" si="2"/>
        <v>46094.541705439813</v>
      </c>
      <c r="S53" t="str">
        <v>CUST015</v>
      </c>
      <c r="T53" t="str">
        <v>James Wilson</v>
      </c>
    </row>
    <row r="54" spans="1:20" ht="29.4" thickBot="1" x14ac:dyDescent="0.35">
      <c r="A54" s="2" t="s">
        <v>22</v>
      </c>
      <c r="B54" s="2" t="s">
        <v>64</v>
      </c>
      <c r="C54" s="2" t="s">
        <v>20</v>
      </c>
      <c r="D54" s="2" t="s">
        <v>27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J54">
        <f t="shared" si="0"/>
        <v>1086.93</v>
      </c>
      <c r="L54" s="11">
        <f t="shared" si="1"/>
        <v>-0.13251083326433172</v>
      </c>
      <c r="M54" t="str">
        <v>Jun</v>
      </c>
      <c r="Q54" s="12">
        <f t="shared" ca="1" si="2"/>
        <v>46094.541705439813</v>
      </c>
      <c r="S54" t="str">
        <v>CUST030</v>
      </c>
      <c r="T54" t="str">
        <v>Sarah Davis</v>
      </c>
    </row>
    <row r="55" spans="1:20" ht="15" thickBot="1" x14ac:dyDescent="0.35">
      <c r="A55" s="2" t="s">
        <v>65</v>
      </c>
      <c r="B55" s="2" t="s">
        <v>48</v>
      </c>
      <c r="C55" s="2" t="s">
        <v>11</v>
      </c>
      <c r="D55" s="2" t="s">
        <v>12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J55">
        <f t="shared" si="0"/>
        <v>848.61</v>
      </c>
      <c r="L55" s="11">
        <f t="shared" si="1"/>
        <v>-0.13161522961077529</v>
      </c>
      <c r="M55" t="str">
        <v>Jun</v>
      </c>
      <c r="Q55" s="12">
        <f t="shared" ca="1" si="2"/>
        <v>46094.541705439813</v>
      </c>
      <c r="S55" t="str">
        <v>CUST002</v>
      </c>
      <c r="T55" t="str">
        <v>Lisa Davis</v>
      </c>
    </row>
    <row r="56" spans="1:20" ht="29.4" thickBot="1" x14ac:dyDescent="0.35">
      <c r="A56" s="2" t="s">
        <v>32</v>
      </c>
      <c r="B56" s="2" t="s">
        <v>38</v>
      </c>
      <c r="C56" s="2" t="s">
        <v>24</v>
      </c>
      <c r="D56" s="2" t="s">
        <v>21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J56">
        <f t="shared" si="0"/>
        <v>695.98</v>
      </c>
      <c r="L56" s="11">
        <f t="shared" si="1"/>
        <v>0.12242305813385444</v>
      </c>
      <c r="M56" t="str">
        <v>Jun</v>
      </c>
      <c r="Q56" s="12">
        <f t="shared" ca="1" si="2"/>
        <v>46094.541705439813</v>
      </c>
      <c r="S56" t="str">
        <v>CUST009</v>
      </c>
      <c r="T56" t="str">
        <v>Emma Davis</v>
      </c>
    </row>
    <row r="57" spans="1:20" ht="29.4" thickBot="1" x14ac:dyDescent="0.35">
      <c r="A57" s="2" t="s">
        <v>19</v>
      </c>
      <c r="B57" s="2" t="s">
        <v>14</v>
      </c>
      <c r="C57" s="2" t="s">
        <v>20</v>
      </c>
      <c r="D57" s="2" t="s">
        <v>27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J57">
        <f t="shared" si="0"/>
        <v>735.23199999999997</v>
      </c>
      <c r="L57" s="11">
        <f t="shared" si="1"/>
        <v>5.8996344011142093E-2</v>
      </c>
      <c r="M57" t="str">
        <v>Jun</v>
      </c>
      <c r="Q57" s="12">
        <f t="shared" ca="1" si="2"/>
        <v>46094.541705439813</v>
      </c>
      <c r="S57" t="str">
        <v>CUST005</v>
      </c>
      <c r="T57" t="str">
        <v>Robert Anderson</v>
      </c>
    </row>
    <row r="58" spans="1:20" ht="29.4" thickBot="1" x14ac:dyDescent="0.35">
      <c r="A58" s="2" t="s">
        <v>22</v>
      </c>
      <c r="B58" s="2" t="s">
        <v>66</v>
      </c>
      <c r="C58" s="2" t="s">
        <v>34</v>
      </c>
      <c r="D58" s="2" t="s">
        <v>12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J58">
        <f t="shared" si="0"/>
        <v>973.26</v>
      </c>
      <c r="L58" s="11">
        <f t="shared" si="1"/>
        <v>-0.23801450794237919</v>
      </c>
      <c r="M58" t="str">
        <v>Jun</v>
      </c>
      <c r="Q58" s="12">
        <f t="shared" ca="1" si="2"/>
        <v>46094.541705439813</v>
      </c>
      <c r="S58" t="str">
        <v>CUST030</v>
      </c>
      <c r="T58" t="str">
        <v>Emma Taylor</v>
      </c>
    </row>
    <row r="59" spans="1:20" ht="29.4" thickBot="1" x14ac:dyDescent="0.35">
      <c r="A59" s="2" t="s">
        <v>41</v>
      </c>
      <c r="B59" s="2" t="s">
        <v>64</v>
      </c>
      <c r="C59" s="2" t="s">
        <v>24</v>
      </c>
      <c r="D59" s="2" t="s">
        <v>21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J59">
        <f t="shared" si="0"/>
        <v>593.28800000000001</v>
      </c>
      <c r="L59" s="11">
        <f t="shared" si="1"/>
        <v>0.68393090708054083</v>
      </c>
      <c r="M59" t="str">
        <v>Jun</v>
      </c>
      <c r="Q59" s="12">
        <f t="shared" ca="1" si="2"/>
        <v>46094.541705439813</v>
      </c>
      <c r="S59" t="str">
        <v>CUST029</v>
      </c>
      <c r="T59" t="str">
        <v>Sarah Davis</v>
      </c>
    </row>
    <row r="60" spans="1:20" ht="29.4" thickBot="1" x14ac:dyDescent="0.35">
      <c r="A60" s="2" t="s">
        <v>67</v>
      </c>
      <c r="B60" s="2" t="s">
        <v>38</v>
      </c>
      <c r="C60" s="2" t="s">
        <v>24</v>
      </c>
      <c r="D60" s="2" t="s">
        <v>12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J60">
        <f t="shared" si="0"/>
        <v>1123.9379999999999</v>
      </c>
      <c r="L60" s="11">
        <f t="shared" si="1"/>
        <v>8.9316314600983299E-2</v>
      </c>
      <c r="M60" t="str">
        <v>Jun</v>
      </c>
      <c r="Q60" s="12">
        <f t="shared" ca="1" si="2"/>
        <v>46094.541705439813</v>
      </c>
      <c r="S60" t="str">
        <v>CUST003</v>
      </c>
      <c r="T60" t="str">
        <v>Emma Davis</v>
      </c>
    </row>
    <row r="61" spans="1:20" ht="29.4" thickBot="1" x14ac:dyDescent="0.35">
      <c r="A61" s="2" t="s">
        <v>13</v>
      </c>
      <c r="B61" s="2" t="s">
        <v>59</v>
      </c>
      <c r="C61" s="2" t="s">
        <v>11</v>
      </c>
      <c r="D61" s="2" t="s">
        <v>15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J61">
        <f t="shared" si="0"/>
        <v>1360.36</v>
      </c>
      <c r="L61" s="11">
        <f t="shared" si="1"/>
        <v>1.6863183275015479E-2</v>
      </c>
      <c r="M61" t="str">
        <v>Jun</v>
      </c>
      <c r="Q61" s="12">
        <f t="shared" ca="1" si="2"/>
        <v>46094.541705439813</v>
      </c>
      <c r="S61" t="str">
        <v>CUST012</v>
      </c>
      <c r="T61" t="str">
        <v>Mary Wilson</v>
      </c>
    </row>
    <row r="62" spans="1:20" ht="29.4" thickBot="1" x14ac:dyDescent="0.35">
      <c r="A62" s="2" t="s">
        <v>57</v>
      </c>
      <c r="B62" s="2" t="s">
        <v>31</v>
      </c>
      <c r="C62" s="2" t="s">
        <v>18</v>
      </c>
      <c r="D62" s="2" t="s">
        <v>12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J62">
        <f t="shared" si="0"/>
        <v>1244.97</v>
      </c>
      <c r="L62" s="11">
        <f t="shared" si="1"/>
        <v>-0.64650473505385675</v>
      </c>
      <c r="M62" t="str">
        <v>Jul</v>
      </c>
      <c r="Q62" s="12">
        <f t="shared" ca="1" si="2"/>
        <v>46094.541705439813</v>
      </c>
      <c r="S62" t="str">
        <v>CUST021</v>
      </c>
      <c r="T62" t="str">
        <v>Mary Davis</v>
      </c>
    </row>
    <row r="63" spans="1:20" ht="29.4" thickBot="1" x14ac:dyDescent="0.35">
      <c r="A63" s="2" t="s">
        <v>35</v>
      </c>
      <c r="B63" s="2" t="s">
        <v>55</v>
      </c>
      <c r="C63" s="2" t="s">
        <v>34</v>
      </c>
      <c r="D63" s="2" t="s">
        <v>39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J63">
        <f t="shared" si="0"/>
        <v>488.99</v>
      </c>
      <c r="L63" s="11">
        <f t="shared" si="1"/>
        <v>0.90946645125667192</v>
      </c>
      <c r="M63" t="str">
        <v>Jul</v>
      </c>
      <c r="Q63" s="12">
        <f t="shared" ca="1" si="2"/>
        <v>46094.541705439813</v>
      </c>
      <c r="S63" t="str">
        <v>CUST010</v>
      </c>
      <c r="T63" t="str">
        <v>David Brown</v>
      </c>
    </row>
    <row r="64" spans="1:20" ht="29.4" thickBot="1" x14ac:dyDescent="0.35">
      <c r="A64" s="2" t="s">
        <v>30</v>
      </c>
      <c r="B64" s="2" t="s">
        <v>31</v>
      </c>
      <c r="C64" s="2" t="s">
        <v>18</v>
      </c>
      <c r="D64" s="2" t="s">
        <v>27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J64">
        <f t="shared" si="0"/>
        <v>840.33900000000006</v>
      </c>
      <c r="L64" s="11">
        <f t="shared" si="1"/>
        <v>7.6918957706354152E-2</v>
      </c>
      <c r="M64" t="str">
        <v>Jul</v>
      </c>
      <c r="Q64" s="12">
        <f t="shared" ca="1" si="2"/>
        <v>46094.541705439813</v>
      </c>
      <c r="S64" t="str">
        <v>CUST026</v>
      </c>
      <c r="T64" t="str">
        <v>Mary Davis</v>
      </c>
    </row>
    <row r="65" spans="1:20" ht="29.4" thickBot="1" x14ac:dyDescent="0.35">
      <c r="A65" s="2" t="s">
        <v>67</v>
      </c>
      <c r="B65" s="2" t="s">
        <v>10</v>
      </c>
      <c r="C65" s="2" t="s">
        <v>11</v>
      </c>
      <c r="D65" s="2" t="s">
        <v>21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J65">
        <f t="shared" si="0"/>
        <v>804.42399999999998</v>
      </c>
      <c r="L65" s="11">
        <f t="shared" si="1"/>
        <v>9.4049904030710119E-2</v>
      </c>
      <c r="M65" t="str">
        <v>Jul</v>
      </c>
      <c r="Q65" s="12">
        <f t="shared" ca="1" si="2"/>
        <v>46094.541705439813</v>
      </c>
      <c r="S65" t="str">
        <v>CUST003</v>
      </c>
      <c r="T65" t="str">
        <v>James Davis</v>
      </c>
    </row>
    <row r="66" spans="1:20" ht="29.4" thickBot="1" x14ac:dyDescent="0.35">
      <c r="A66" s="2" t="s">
        <v>41</v>
      </c>
      <c r="B66" s="2" t="s">
        <v>61</v>
      </c>
      <c r="C66" s="2" t="s">
        <v>20</v>
      </c>
      <c r="D66" s="2" t="s">
        <v>21</v>
      </c>
      <c r="E66" s="3">
        <v>1100.0999999999999</v>
      </c>
      <c r="F66" s="3">
        <v>5</v>
      </c>
      <c r="G66" s="3">
        <v>0.05</v>
      </c>
      <c r="H66" s="4">
        <v>45482</v>
      </c>
      <c r="I66" s="3">
        <v>261.27</v>
      </c>
      <c r="J66">
        <f t="shared" si="0"/>
        <v>1045.0949999999998</v>
      </c>
      <c r="L66" s="11">
        <f t="shared" si="1"/>
        <v>-5.9449140987182868E-2</v>
      </c>
      <c r="M66" t="str">
        <v>Jul</v>
      </c>
      <c r="Q66" s="12">
        <f t="shared" ca="1" si="2"/>
        <v>46094.541705439813</v>
      </c>
      <c r="S66" t="str">
        <v>CUST029</v>
      </c>
      <c r="T66" t="str">
        <v>Emma Wilson</v>
      </c>
    </row>
    <row r="67" spans="1:20" ht="29.4" thickBot="1" x14ac:dyDescent="0.35">
      <c r="A67" s="2" t="s">
        <v>67</v>
      </c>
      <c r="B67" s="2" t="s">
        <v>23</v>
      </c>
      <c r="C67" s="2" t="s">
        <v>24</v>
      </c>
      <c r="D67" s="2" t="s">
        <v>27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J67">
        <f t="shared" ref="J67:J130" si="3">E67-(E67*G67)</f>
        <v>879.495</v>
      </c>
      <c r="L67" s="11">
        <f t="shared" ref="L67:L130" si="4">(E68-E67)/E67</f>
        <v>-0.15295254663187396</v>
      </c>
      <c r="M67" t="str">
        <v>Jul</v>
      </c>
      <c r="Q67" s="12">
        <f t="shared" ref="Q67:Q130" ca="1" si="5">NOW()</f>
        <v>46094.541705439813</v>
      </c>
      <c r="S67" t="str">
        <v>CUST003</v>
      </c>
      <c r="T67" t="str">
        <v>James Wilson</v>
      </c>
    </row>
    <row r="68" spans="1:20" ht="29.4" thickBot="1" x14ac:dyDescent="0.35">
      <c r="A68" s="2" t="s">
        <v>65</v>
      </c>
      <c r="B68" s="2" t="s">
        <v>31</v>
      </c>
      <c r="C68" s="2" t="s">
        <v>20</v>
      </c>
      <c r="D68" s="2" t="s">
        <v>12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J68">
        <f t="shared" si="3"/>
        <v>832.61800000000005</v>
      </c>
      <c r="L68" s="11">
        <f t="shared" si="4"/>
        <v>0.56467071334033114</v>
      </c>
      <c r="M68" t="str">
        <v>Jul</v>
      </c>
      <c r="Q68" s="12">
        <f t="shared" ca="1" si="5"/>
        <v>46094.541705439813</v>
      </c>
      <c r="S68" t="str">
        <v>CUST002</v>
      </c>
      <c r="T68" t="str">
        <v>Mary Davis</v>
      </c>
    </row>
    <row r="69" spans="1:20" ht="29.4" thickBot="1" x14ac:dyDescent="0.35">
      <c r="A69" s="2" t="s">
        <v>68</v>
      </c>
      <c r="B69" s="2" t="s">
        <v>55</v>
      </c>
      <c r="C69" s="2" t="s">
        <v>11</v>
      </c>
      <c r="D69" s="2" t="s">
        <v>27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J69">
        <f t="shared" si="3"/>
        <v>1302.7729999999999</v>
      </c>
      <c r="L69" s="11">
        <f t="shared" si="4"/>
        <v>-0.25601236746539879</v>
      </c>
      <c r="M69" t="str">
        <v>Jul</v>
      </c>
      <c r="Q69" s="12">
        <f t="shared" ca="1" si="5"/>
        <v>46094.541705439813</v>
      </c>
      <c r="S69" t="str">
        <v>CUST020</v>
      </c>
      <c r="T69" t="str">
        <v>David Brown</v>
      </c>
    </row>
    <row r="70" spans="1:20" ht="29.4" thickBot="1" x14ac:dyDescent="0.35">
      <c r="A70" s="2" t="s">
        <v>57</v>
      </c>
      <c r="B70" s="2" t="s">
        <v>47</v>
      </c>
      <c r="C70" s="2" t="s">
        <v>24</v>
      </c>
      <c r="D70" s="2" t="s">
        <v>21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J70">
        <f t="shared" si="3"/>
        <v>969.24699999999996</v>
      </c>
      <c r="L70" s="11">
        <f t="shared" si="4"/>
        <v>-0.21117166212534064</v>
      </c>
      <c r="M70" t="str">
        <v>Jul</v>
      </c>
      <c r="Q70" s="12">
        <f t="shared" ca="1" si="5"/>
        <v>46094.541705439813</v>
      </c>
      <c r="S70" t="str">
        <v>CUST021</v>
      </c>
      <c r="T70" t="str">
        <v>Mary Jackson</v>
      </c>
    </row>
    <row r="71" spans="1:20" ht="29.4" thickBot="1" x14ac:dyDescent="0.35">
      <c r="A71" s="2" t="s">
        <v>44</v>
      </c>
      <c r="B71" s="2" t="s">
        <v>10</v>
      </c>
      <c r="C71" s="2" t="s">
        <v>34</v>
      </c>
      <c r="D71" s="2" t="s">
        <v>39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J71">
        <f t="shared" si="3"/>
        <v>764.56949999999995</v>
      </c>
      <c r="L71" s="11">
        <f t="shared" si="4"/>
        <v>-0.24372212074899666</v>
      </c>
      <c r="M71" t="str">
        <v>Jul</v>
      </c>
      <c r="Q71" s="12">
        <f t="shared" ca="1" si="5"/>
        <v>46094.541705439813</v>
      </c>
      <c r="S71" t="str">
        <v>CUST008</v>
      </c>
      <c r="T71" t="str">
        <v>James Davis</v>
      </c>
    </row>
    <row r="72" spans="1:20" ht="29.4" thickBot="1" x14ac:dyDescent="0.35">
      <c r="A72" s="2" t="s">
        <v>22</v>
      </c>
      <c r="B72" s="2" t="s">
        <v>55</v>
      </c>
      <c r="C72" s="2" t="s">
        <v>34</v>
      </c>
      <c r="D72" s="2" t="s">
        <v>21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J72">
        <f t="shared" si="3"/>
        <v>578.22699999999998</v>
      </c>
      <c r="L72" s="11">
        <f t="shared" si="4"/>
        <v>0.61206584957118937</v>
      </c>
      <c r="M72" t="str">
        <v>Jul</v>
      </c>
      <c r="Q72" s="12">
        <f t="shared" ca="1" si="5"/>
        <v>46094.541705439813</v>
      </c>
      <c r="S72" t="str">
        <v>CUST030</v>
      </c>
      <c r="T72" t="str">
        <v>David Brown</v>
      </c>
    </row>
    <row r="73" spans="1:20" ht="29.4" thickBot="1" x14ac:dyDescent="0.35">
      <c r="A73" s="2" t="s">
        <v>68</v>
      </c>
      <c r="B73" s="2" t="s">
        <v>69</v>
      </c>
      <c r="C73" s="2" t="s">
        <v>20</v>
      </c>
      <c r="D73" s="2" t="s">
        <v>39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J73">
        <f t="shared" si="3"/>
        <v>981.2</v>
      </c>
      <c r="L73" s="11">
        <f t="shared" si="4"/>
        <v>-0.44988789237668164</v>
      </c>
      <c r="M73" t="str">
        <v>Jul</v>
      </c>
      <c r="Q73" s="12">
        <f t="shared" ca="1" si="5"/>
        <v>46094.541705439813</v>
      </c>
      <c r="S73" t="str">
        <v>CUST020</v>
      </c>
      <c r="T73" t="str">
        <v>Linda Moore</v>
      </c>
    </row>
    <row r="74" spans="1:20" ht="29.4" thickBot="1" x14ac:dyDescent="0.35">
      <c r="A74" s="2" t="s">
        <v>70</v>
      </c>
      <c r="B74" s="2" t="s">
        <v>55</v>
      </c>
      <c r="C74" s="2" t="s">
        <v>18</v>
      </c>
      <c r="D74" s="2" t="s">
        <v>21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J74">
        <f t="shared" si="3"/>
        <v>458.80449999999996</v>
      </c>
      <c r="L74" s="11">
        <f t="shared" si="4"/>
        <v>0.4903570039090725</v>
      </c>
      <c r="M74" t="str">
        <v>Aug</v>
      </c>
      <c r="Q74" s="12">
        <f t="shared" ca="1" si="5"/>
        <v>46094.541705439813</v>
      </c>
      <c r="S74" t="str">
        <v>CUST024</v>
      </c>
      <c r="T74" t="str">
        <v>David Brown</v>
      </c>
    </row>
    <row r="75" spans="1:20" ht="29.4" thickBot="1" x14ac:dyDescent="0.35">
      <c r="A75" s="2" t="s">
        <v>13</v>
      </c>
      <c r="B75" s="2" t="s">
        <v>71</v>
      </c>
      <c r="C75" s="2" t="s">
        <v>20</v>
      </c>
      <c r="D75" s="2" t="s">
        <v>12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J75">
        <f t="shared" si="3"/>
        <v>643.56000000000006</v>
      </c>
      <c r="L75" s="11">
        <f t="shared" si="4"/>
        <v>0.8976940766983651</v>
      </c>
      <c r="M75" t="str">
        <v>Aug</v>
      </c>
      <c r="Q75" s="12">
        <f t="shared" ca="1" si="5"/>
        <v>46094.541705439813</v>
      </c>
      <c r="S75" t="str">
        <v>CUST012</v>
      </c>
      <c r="T75" t="str">
        <v>David Anderson</v>
      </c>
    </row>
    <row r="76" spans="1:20" ht="29.4" thickBot="1" x14ac:dyDescent="0.35">
      <c r="A76" s="2" t="s">
        <v>70</v>
      </c>
      <c r="B76" s="2" t="s">
        <v>38</v>
      </c>
      <c r="C76" s="2" t="s">
        <v>11</v>
      </c>
      <c r="D76" s="2" t="s">
        <v>21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J76">
        <f t="shared" si="3"/>
        <v>1221.28</v>
      </c>
      <c r="L76" s="11">
        <f t="shared" si="4"/>
        <v>-0.20394340364208041</v>
      </c>
      <c r="M76" t="str">
        <v>Aug</v>
      </c>
      <c r="Q76" s="12">
        <f t="shared" ca="1" si="5"/>
        <v>46094.541705439813</v>
      </c>
      <c r="S76" t="str">
        <v>CUST024</v>
      </c>
      <c r="T76" t="str">
        <v>Emma Davis</v>
      </c>
    </row>
    <row r="77" spans="1:20" ht="29.4" thickBot="1" x14ac:dyDescent="0.35">
      <c r="A77" s="2" t="s">
        <v>13</v>
      </c>
      <c r="B77" s="2" t="s">
        <v>29</v>
      </c>
      <c r="C77" s="2" t="s">
        <v>11</v>
      </c>
      <c r="D77" s="2" t="s">
        <v>21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J77">
        <f t="shared" si="3"/>
        <v>1032.971</v>
      </c>
      <c r="L77" s="11">
        <f t="shared" si="4"/>
        <v>3.79178118262758E-2</v>
      </c>
      <c r="M77" t="str">
        <v>Aug</v>
      </c>
      <c r="Q77" s="12">
        <f t="shared" ca="1" si="5"/>
        <v>46094.541705439813</v>
      </c>
      <c r="S77" t="str">
        <v>CUST012</v>
      </c>
      <c r="T77" t="str">
        <v>Linda Wilson</v>
      </c>
    </row>
    <row r="78" spans="1:20" ht="29.4" thickBot="1" x14ac:dyDescent="0.35">
      <c r="A78" s="2" t="s">
        <v>19</v>
      </c>
      <c r="B78" s="2" t="s">
        <v>53</v>
      </c>
      <c r="C78" s="2" t="s">
        <v>34</v>
      </c>
      <c r="D78" s="2" t="s">
        <v>27</v>
      </c>
      <c r="E78" s="3">
        <v>1261.3399999999999</v>
      </c>
      <c r="F78" s="3">
        <v>3</v>
      </c>
      <c r="G78" s="3">
        <v>0</v>
      </c>
      <c r="H78" s="4">
        <v>45519</v>
      </c>
      <c r="I78" s="3">
        <v>441.47</v>
      </c>
      <c r="J78">
        <f t="shared" si="3"/>
        <v>1261.3399999999999</v>
      </c>
      <c r="L78" s="11">
        <f t="shared" si="4"/>
        <v>-0.589270141278323</v>
      </c>
      <c r="M78" t="str">
        <v>Aug</v>
      </c>
      <c r="Q78" s="12">
        <f t="shared" ca="1" si="5"/>
        <v>46094.541705439813</v>
      </c>
      <c r="S78" t="str">
        <v>CUST005</v>
      </c>
      <c r="T78" t="str">
        <v>Linda Taylor</v>
      </c>
    </row>
    <row r="79" spans="1:20" ht="29.4" thickBot="1" x14ac:dyDescent="0.35">
      <c r="A79" s="2" t="s">
        <v>72</v>
      </c>
      <c r="B79" s="2" t="s">
        <v>45</v>
      </c>
      <c r="C79" s="2" t="s">
        <v>24</v>
      </c>
      <c r="D79" s="2" t="s">
        <v>27</v>
      </c>
      <c r="E79" s="3">
        <v>518.07000000000005</v>
      </c>
      <c r="F79" s="3">
        <v>7</v>
      </c>
      <c r="G79" s="3">
        <v>0.05</v>
      </c>
      <c r="H79" s="4">
        <v>45522</v>
      </c>
      <c r="I79" s="3">
        <v>172.26</v>
      </c>
      <c r="J79">
        <f t="shared" si="3"/>
        <v>492.16650000000004</v>
      </c>
      <c r="L79" s="11">
        <f t="shared" si="4"/>
        <v>1.1451541297508054</v>
      </c>
      <c r="M79" t="str">
        <v>Aug</v>
      </c>
      <c r="Q79" s="12">
        <f t="shared" ca="1" si="5"/>
        <v>46094.541705439813</v>
      </c>
      <c r="S79" t="str">
        <v>CUST004</v>
      </c>
      <c r="T79" t="str">
        <v>Lisa Thomas</v>
      </c>
    </row>
    <row r="80" spans="1:20" ht="29.4" thickBot="1" x14ac:dyDescent="0.35">
      <c r="A80" s="2" t="s">
        <v>30</v>
      </c>
      <c r="B80" s="2" t="s">
        <v>29</v>
      </c>
      <c r="C80" s="2" t="s">
        <v>11</v>
      </c>
      <c r="D80" s="2" t="s">
        <v>39</v>
      </c>
      <c r="E80" s="3">
        <v>1111.3399999999999</v>
      </c>
      <c r="F80" s="3">
        <v>1</v>
      </c>
      <c r="G80" s="3">
        <v>0</v>
      </c>
      <c r="H80" s="4">
        <v>45523</v>
      </c>
      <c r="I80" s="3">
        <v>500.1</v>
      </c>
      <c r="J80">
        <f t="shared" si="3"/>
        <v>1111.3399999999999</v>
      </c>
      <c r="L80" s="11">
        <f t="shared" si="4"/>
        <v>0.16208361077618022</v>
      </c>
      <c r="M80" t="str">
        <v>Aug</v>
      </c>
      <c r="Q80" s="12">
        <f t="shared" ca="1" si="5"/>
        <v>46094.541705439813</v>
      </c>
      <c r="S80" t="str">
        <v>CUST026</v>
      </c>
      <c r="T80" t="str">
        <v>Linda Wilson</v>
      </c>
    </row>
    <row r="81" spans="1:20" ht="29.4" thickBot="1" x14ac:dyDescent="0.35">
      <c r="A81" s="2" t="s">
        <v>22</v>
      </c>
      <c r="B81" s="2" t="s">
        <v>31</v>
      </c>
      <c r="C81" s="2" t="s">
        <v>18</v>
      </c>
      <c r="D81" s="2" t="s">
        <v>15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J81">
        <f t="shared" si="3"/>
        <v>1162.3230000000001</v>
      </c>
      <c r="L81" s="11">
        <f t="shared" si="4"/>
        <v>-0.4736927687054287</v>
      </c>
      <c r="M81" t="str">
        <v>Aug</v>
      </c>
      <c r="Q81" s="12">
        <f t="shared" ca="1" si="5"/>
        <v>46094.541705439813</v>
      </c>
      <c r="S81" t="str">
        <v>CUST030</v>
      </c>
      <c r="T81" t="str">
        <v>Mary Davis</v>
      </c>
    </row>
    <row r="82" spans="1:20" ht="29.4" thickBot="1" x14ac:dyDescent="0.35">
      <c r="A82" s="2" t="s">
        <v>25</v>
      </c>
      <c r="B82" s="2" t="s">
        <v>55</v>
      </c>
      <c r="C82" s="2" t="s">
        <v>24</v>
      </c>
      <c r="D82" s="2" t="s">
        <v>12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J82">
        <f t="shared" si="3"/>
        <v>679.71</v>
      </c>
      <c r="L82" s="11">
        <f t="shared" si="4"/>
        <v>0.68261464448073439</v>
      </c>
      <c r="M82" t="str">
        <v>Aug</v>
      </c>
      <c r="Q82" s="12">
        <f t="shared" ca="1" si="5"/>
        <v>46094.541705439813</v>
      </c>
      <c r="S82" t="str">
        <v>CUST007</v>
      </c>
      <c r="T82" t="str">
        <v>David Brown</v>
      </c>
    </row>
    <row r="83" spans="1:20" ht="29.4" thickBot="1" x14ac:dyDescent="0.35">
      <c r="A83" s="2" t="s">
        <v>68</v>
      </c>
      <c r="B83" s="2" t="s">
        <v>33</v>
      </c>
      <c r="C83" s="2" t="s">
        <v>18</v>
      </c>
      <c r="D83" s="2" t="s">
        <v>27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J83">
        <f t="shared" si="3"/>
        <v>1143.69</v>
      </c>
      <c r="L83" s="11">
        <f t="shared" si="4"/>
        <v>-0.30918343257351205</v>
      </c>
      <c r="M83" t="str">
        <v>Aug</v>
      </c>
      <c r="Q83" s="12">
        <f t="shared" ca="1" si="5"/>
        <v>46094.541705439813</v>
      </c>
      <c r="S83" t="str">
        <v>CUST020</v>
      </c>
      <c r="T83" t="str">
        <v>Linda Jackson</v>
      </c>
    </row>
    <row r="84" spans="1:20" ht="29.4" thickBot="1" x14ac:dyDescent="0.35">
      <c r="A84" s="2" t="s">
        <v>52</v>
      </c>
      <c r="B84" s="2" t="s">
        <v>50</v>
      </c>
      <c r="C84" s="2" t="s">
        <v>34</v>
      </c>
      <c r="D84" s="2" t="s">
        <v>21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J84">
        <f t="shared" si="3"/>
        <v>711.072</v>
      </c>
      <c r="L84" s="11">
        <f t="shared" si="4"/>
        <v>0.35515390846496558</v>
      </c>
      <c r="M84" t="str">
        <v>Sep</v>
      </c>
      <c r="Q84" s="12">
        <f t="shared" ca="1" si="5"/>
        <v>46094.541705439813</v>
      </c>
      <c r="S84" t="str">
        <v>CUST028</v>
      </c>
      <c r="T84" t="str">
        <v>Linda Brown</v>
      </c>
    </row>
    <row r="85" spans="1:20" ht="15" thickBot="1" x14ac:dyDescent="0.35">
      <c r="A85" s="2" t="s">
        <v>19</v>
      </c>
      <c r="B85" s="2" t="s">
        <v>48</v>
      </c>
      <c r="C85" s="2" t="s">
        <v>34</v>
      </c>
      <c r="D85" s="2" t="s">
        <v>12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J85">
        <f t="shared" si="3"/>
        <v>1017.1460000000001</v>
      </c>
      <c r="L85" s="11">
        <f t="shared" si="4"/>
        <v>9.1726753091493279E-2</v>
      </c>
      <c r="M85" t="str">
        <v>Sep</v>
      </c>
      <c r="Q85" s="12">
        <f t="shared" ca="1" si="5"/>
        <v>46094.541705439813</v>
      </c>
      <c r="S85" t="str">
        <v>CUST005</v>
      </c>
      <c r="T85" t="str">
        <v>Lisa Davis</v>
      </c>
    </row>
    <row r="86" spans="1:20" ht="29.4" thickBot="1" x14ac:dyDescent="0.35">
      <c r="A86" s="2" t="s">
        <v>58</v>
      </c>
      <c r="B86" s="2" t="s">
        <v>36</v>
      </c>
      <c r="C86" s="2" t="s">
        <v>11</v>
      </c>
      <c r="D86" s="2" t="s">
        <v>15</v>
      </c>
      <c r="E86" s="3">
        <v>1168.8900000000001</v>
      </c>
      <c r="F86" s="3">
        <v>4</v>
      </c>
      <c r="G86" s="3">
        <v>0.1</v>
      </c>
      <c r="H86" s="4">
        <v>45544</v>
      </c>
      <c r="I86" s="3">
        <v>526</v>
      </c>
      <c r="J86">
        <f t="shared" si="3"/>
        <v>1052.0010000000002</v>
      </c>
      <c r="L86" s="11">
        <f t="shared" si="4"/>
        <v>0.14285347637502227</v>
      </c>
      <c r="M86" t="str">
        <v>Sep</v>
      </c>
      <c r="Q86" s="12">
        <f t="shared" ca="1" si="5"/>
        <v>46094.541705439813</v>
      </c>
      <c r="S86" t="str">
        <v>CUST015</v>
      </c>
      <c r="T86" t="str">
        <v>David Thomas</v>
      </c>
    </row>
    <row r="87" spans="1:20" ht="29.4" thickBot="1" x14ac:dyDescent="0.35">
      <c r="A87" s="2" t="s">
        <v>67</v>
      </c>
      <c r="B87" s="2" t="s">
        <v>10</v>
      </c>
      <c r="C87" s="2" t="s">
        <v>20</v>
      </c>
      <c r="D87" s="2" t="s">
        <v>21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J87">
        <f t="shared" si="3"/>
        <v>1335.87</v>
      </c>
      <c r="L87" s="11">
        <f t="shared" si="4"/>
        <v>-0.34596929341926974</v>
      </c>
      <c r="M87" t="str">
        <v>Sep</v>
      </c>
      <c r="Q87" s="12">
        <f t="shared" ca="1" si="5"/>
        <v>46094.541705439813</v>
      </c>
      <c r="S87" t="str">
        <v>CUST003</v>
      </c>
      <c r="T87" t="str">
        <v>James Davis</v>
      </c>
    </row>
    <row r="88" spans="1:20" ht="29.4" thickBot="1" x14ac:dyDescent="0.35">
      <c r="A88" s="2" t="s">
        <v>40</v>
      </c>
      <c r="B88" s="2" t="s">
        <v>55</v>
      </c>
      <c r="C88" s="2" t="s">
        <v>18</v>
      </c>
      <c r="D88" s="2" t="s">
        <v>27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J88">
        <f t="shared" si="3"/>
        <v>873.7</v>
      </c>
      <c r="L88" s="11">
        <f t="shared" si="4"/>
        <v>0.65271832436763189</v>
      </c>
      <c r="M88" t="str">
        <v>Sep</v>
      </c>
      <c r="Q88" s="12">
        <f t="shared" ca="1" si="5"/>
        <v>46094.541705439813</v>
      </c>
      <c r="S88" t="str">
        <v>CUST023</v>
      </c>
      <c r="T88" t="str">
        <v>David Brown</v>
      </c>
    </row>
    <row r="89" spans="1:20" ht="29.4" thickBot="1" x14ac:dyDescent="0.35">
      <c r="A89" s="2" t="s">
        <v>72</v>
      </c>
      <c r="B89" s="2" t="s">
        <v>64</v>
      </c>
      <c r="C89" s="2" t="s">
        <v>11</v>
      </c>
      <c r="D89" s="2" t="s">
        <v>39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J89">
        <f t="shared" si="3"/>
        <v>1443.98</v>
      </c>
      <c r="L89" s="11">
        <f t="shared" si="4"/>
        <v>-0.200591420933808</v>
      </c>
      <c r="M89" t="str">
        <v>Sep</v>
      </c>
      <c r="Q89" s="12">
        <f t="shared" ca="1" si="5"/>
        <v>46094.541705439813</v>
      </c>
      <c r="S89" t="str">
        <v>CUST004</v>
      </c>
      <c r="T89" t="str">
        <v>Sarah Davis</v>
      </c>
    </row>
    <row r="90" spans="1:20" ht="29.4" thickBot="1" x14ac:dyDescent="0.35">
      <c r="A90" s="2" t="s">
        <v>40</v>
      </c>
      <c r="B90" s="2" t="s">
        <v>23</v>
      </c>
      <c r="C90" s="2" t="s">
        <v>18</v>
      </c>
      <c r="D90" s="2" t="s">
        <v>39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J90">
        <f t="shared" si="3"/>
        <v>981.18049999999994</v>
      </c>
      <c r="L90" s="11">
        <f t="shared" si="4"/>
        <v>9.5431982188802236E-2</v>
      </c>
      <c r="M90" t="str">
        <v>Sep</v>
      </c>
      <c r="Q90" s="12">
        <f t="shared" ca="1" si="5"/>
        <v>46094.541705439813</v>
      </c>
      <c r="S90" t="str">
        <v>CUST023</v>
      </c>
      <c r="T90" t="str">
        <v>James Wilson</v>
      </c>
    </row>
    <row r="91" spans="1:20" ht="29.4" thickBot="1" x14ac:dyDescent="0.35">
      <c r="A91" s="2" t="s">
        <v>49</v>
      </c>
      <c r="B91" s="2" t="s">
        <v>50</v>
      </c>
      <c r="C91" s="2" t="s">
        <v>20</v>
      </c>
      <c r="D91" s="2" t="s">
        <v>12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J91">
        <f t="shared" si="3"/>
        <v>1201.2655</v>
      </c>
      <c r="L91" s="11">
        <f t="shared" si="4"/>
        <v>-0.12885827487761869</v>
      </c>
      <c r="M91" t="str">
        <v>Sep</v>
      </c>
      <c r="Q91" s="12">
        <f t="shared" ca="1" si="5"/>
        <v>46094.541705439813</v>
      </c>
      <c r="S91" t="str">
        <v>CUST022</v>
      </c>
      <c r="T91" t="str">
        <v>Linda Brown</v>
      </c>
    </row>
    <row r="92" spans="1:20" ht="29.4" thickBot="1" x14ac:dyDescent="0.35">
      <c r="A92" s="2" t="s">
        <v>25</v>
      </c>
      <c r="B92" s="2" t="s">
        <v>66</v>
      </c>
      <c r="C92" s="2" t="s">
        <v>11</v>
      </c>
      <c r="D92" s="2" t="s">
        <v>27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J92">
        <f t="shared" si="3"/>
        <v>991.39499999999998</v>
      </c>
      <c r="L92" s="11">
        <f t="shared" si="4"/>
        <v>-0.33935817711406652</v>
      </c>
      <c r="M92" t="str">
        <v>Sep</v>
      </c>
      <c r="Q92" s="12">
        <f t="shared" ca="1" si="5"/>
        <v>46094.541705439813</v>
      </c>
      <c r="S92" t="str">
        <v>CUST007</v>
      </c>
      <c r="T92" t="str">
        <v>Emma Taylor</v>
      </c>
    </row>
    <row r="93" spans="1:20" ht="29.4" thickBot="1" x14ac:dyDescent="0.35">
      <c r="A93" s="2" t="s">
        <v>73</v>
      </c>
      <c r="B93" s="2" t="s">
        <v>14</v>
      </c>
      <c r="C93" s="2" t="s">
        <v>20</v>
      </c>
      <c r="D93" s="2" t="s">
        <v>27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J93">
        <f t="shared" si="3"/>
        <v>654.95699999999999</v>
      </c>
      <c r="L93" s="11">
        <f t="shared" si="4"/>
        <v>0.20293240624957051</v>
      </c>
      <c r="M93" t="str">
        <v>Sep</v>
      </c>
      <c r="Q93" s="12">
        <f t="shared" ca="1" si="5"/>
        <v>46094.541705439813</v>
      </c>
      <c r="S93" t="str">
        <v>CUST013</v>
      </c>
      <c r="T93" t="str">
        <v>Robert Anderson</v>
      </c>
    </row>
    <row r="94" spans="1:20" ht="29.4" thickBot="1" x14ac:dyDescent="0.35">
      <c r="A94" s="2" t="s">
        <v>74</v>
      </c>
      <c r="B94" s="2" t="s">
        <v>38</v>
      </c>
      <c r="C94" s="2" t="s">
        <v>18</v>
      </c>
      <c r="D94" s="2" t="s">
        <v>39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J94">
        <f t="shared" si="3"/>
        <v>744.09849999999994</v>
      </c>
      <c r="L94" s="11">
        <f t="shared" si="4"/>
        <v>0.32388252361750502</v>
      </c>
      <c r="M94" t="str">
        <v>Sep</v>
      </c>
      <c r="Q94" s="12">
        <f t="shared" ca="1" si="5"/>
        <v>46094.541705439813</v>
      </c>
      <c r="S94" t="str">
        <v>CUST027</v>
      </c>
      <c r="T94" t="str">
        <v>Emma Davis</v>
      </c>
    </row>
    <row r="95" spans="1:20" ht="29.4" thickBot="1" x14ac:dyDescent="0.35">
      <c r="A95" s="2" t="s">
        <v>67</v>
      </c>
      <c r="B95" s="2" t="s">
        <v>23</v>
      </c>
      <c r="C95" s="2" t="s">
        <v>11</v>
      </c>
      <c r="D95" s="2" t="s">
        <v>21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J95">
        <f t="shared" si="3"/>
        <v>927.15200000000004</v>
      </c>
      <c r="L95" s="11">
        <f t="shared" si="4"/>
        <v>-0.16622085699000819</v>
      </c>
      <c r="M95" t="str">
        <v>Sep</v>
      </c>
      <c r="Q95" s="12">
        <f t="shared" ca="1" si="5"/>
        <v>46094.541705439813</v>
      </c>
      <c r="S95" t="str">
        <v>CUST003</v>
      </c>
      <c r="T95" t="str">
        <v>James Wilson</v>
      </c>
    </row>
    <row r="96" spans="1:20" ht="29.4" thickBot="1" x14ac:dyDescent="0.35">
      <c r="A96" s="2" t="s">
        <v>75</v>
      </c>
      <c r="B96" s="2" t="s">
        <v>47</v>
      </c>
      <c r="C96" s="2" t="s">
        <v>20</v>
      </c>
      <c r="D96" s="2" t="s">
        <v>12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J96">
        <f t="shared" si="3"/>
        <v>821.35500000000002</v>
      </c>
      <c r="L96" s="11">
        <f t="shared" si="4"/>
        <v>-5.0522612025250893E-2</v>
      </c>
      <c r="M96" t="str">
        <v>Sep</v>
      </c>
      <c r="Q96" s="12">
        <f t="shared" ca="1" si="5"/>
        <v>46094.541705439813</v>
      </c>
      <c r="S96" t="str">
        <v>CUST018</v>
      </c>
      <c r="T96" t="str">
        <v>Mary Jackson</v>
      </c>
    </row>
    <row r="97" spans="1:20" ht="29.4" thickBot="1" x14ac:dyDescent="0.35">
      <c r="A97" s="2" t="s">
        <v>68</v>
      </c>
      <c r="B97" s="2" t="s">
        <v>17</v>
      </c>
      <c r="C97" s="2" t="s">
        <v>20</v>
      </c>
      <c r="D97" s="2" t="s">
        <v>12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J97">
        <f t="shared" si="3"/>
        <v>917.48</v>
      </c>
      <c r="L97" s="11">
        <f t="shared" si="4"/>
        <v>0.27846928543401489</v>
      </c>
      <c r="M97" t="str">
        <v>Sep</v>
      </c>
      <c r="Q97" s="12">
        <f t="shared" ca="1" si="5"/>
        <v>46094.541705439813</v>
      </c>
      <c r="S97" t="str">
        <v>CUST020</v>
      </c>
      <c r="T97" t="str">
        <v>James Taylor</v>
      </c>
    </row>
    <row r="98" spans="1:20" ht="29.4" thickBot="1" x14ac:dyDescent="0.35">
      <c r="A98" s="2" t="s">
        <v>41</v>
      </c>
      <c r="B98" s="2" t="s">
        <v>61</v>
      </c>
      <c r="C98" s="2" t="s">
        <v>11</v>
      </c>
      <c r="D98" s="2" t="s">
        <v>27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J98">
        <f t="shared" si="3"/>
        <v>997.02449999999999</v>
      </c>
      <c r="L98" s="11">
        <f t="shared" si="4"/>
        <v>2.8005831351185374E-2</v>
      </c>
      <c r="M98" t="str">
        <v>Sep</v>
      </c>
      <c r="Q98" s="12">
        <f t="shared" ca="1" si="5"/>
        <v>46094.541705439813</v>
      </c>
      <c r="S98" t="str">
        <v>CUST029</v>
      </c>
      <c r="T98" t="str">
        <v>Emma Wilson</v>
      </c>
    </row>
    <row r="99" spans="1:20" ht="29.4" thickBot="1" x14ac:dyDescent="0.35">
      <c r="A99" s="2" t="s">
        <v>57</v>
      </c>
      <c r="B99" s="2" t="s">
        <v>23</v>
      </c>
      <c r="C99" s="2" t="s">
        <v>24</v>
      </c>
      <c r="D99" s="2" t="s">
        <v>15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J99">
        <f t="shared" si="3"/>
        <v>1085.2379999999998</v>
      </c>
      <c r="L99" s="11">
        <f t="shared" si="4"/>
        <v>-0.31421771076943489</v>
      </c>
      <c r="M99" t="str">
        <v>Sep</v>
      </c>
      <c r="Q99" s="12">
        <f t="shared" ca="1" si="5"/>
        <v>46094.541705439813</v>
      </c>
      <c r="S99" t="str">
        <v>CUST021</v>
      </c>
      <c r="T99" t="str">
        <v>James Wilson</v>
      </c>
    </row>
    <row r="100" spans="1:20" ht="29.4" thickBot="1" x14ac:dyDescent="0.35">
      <c r="A100" s="2" t="s">
        <v>16</v>
      </c>
      <c r="B100" s="2" t="s">
        <v>64</v>
      </c>
      <c r="C100" s="2" t="s">
        <v>11</v>
      </c>
      <c r="D100" s="2" t="s">
        <v>39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J100">
        <f t="shared" si="3"/>
        <v>661.54399999999998</v>
      </c>
      <c r="L100" s="11">
        <f t="shared" si="4"/>
        <v>9.1011331067926068E-2</v>
      </c>
      <c r="M100" t="str">
        <v>Sep</v>
      </c>
      <c r="Q100" s="12">
        <f t="shared" ca="1" si="5"/>
        <v>46094.541705439813</v>
      </c>
      <c r="S100" t="str">
        <v>CUST017</v>
      </c>
      <c r="T100" t="str">
        <v>Sarah Davis</v>
      </c>
    </row>
    <row r="101" spans="1:20" ht="29.4" thickBot="1" x14ac:dyDescent="0.35">
      <c r="A101" s="2" t="s">
        <v>67</v>
      </c>
      <c r="B101" s="2" t="s">
        <v>23</v>
      </c>
      <c r="C101" s="2" t="s">
        <v>34</v>
      </c>
      <c r="D101" s="2" t="s">
        <v>15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J101">
        <f t="shared" si="3"/>
        <v>902.19</v>
      </c>
      <c r="L101" s="11">
        <f t="shared" si="4"/>
        <v>-0.35050266573559896</v>
      </c>
      <c r="M101" t="str">
        <v>Sep</v>
      </c>
      <c r="Q101" s="12">
        <f t="shared" ca="1" si="5"/>
        <v>46094.541705439813</v>
      </c>
    </row>
    <row r="102" spans="1:20" ht="29.4" thickBot="1" x14ac:dyDescent="0.35">
      <c r="A102" s="2" t="s">
        <v>74</v>
      </c>
      <c r="B102" s="2" t="s">
        <v>38</v>
      </c>
      <c r="C102" s="2" t="s">
        <v>24</v>
      </c>
      <c r="D102" s="2" t="s">
        <v>12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J102">
        <f t="shared" si="3"/>
        <v>527.37300000000005</v>
      </c>
      <c r="L102" s="11">
        <f t="shared" si="4"/>
        <v>0.6898305373995256</v>
      </c>
      <c r="M102" t="str">
        <v>Sep</v>
      </c>
      <c r="Q102" s="12">
        <f t="shared" ca="1" si="5"/>
        <v>46094.541705439813</v>
      </c>
    </row>
    <row r="103" spans="1:20" ht="29.4" thickBot="1" x14ac:dyDescent="0.35">
      <c r="A103" s="2" t="s">
        <v>60</v>
      </c>
      <c r="B103" s="2" t="s">
        <v>26</v>
      </c>
      <c r="C103" s="2" t="s">
        <v>24</v>
      </c>
      <c r="D103" s="2" t="s">
        <v>15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J103">
        <f t="shared" si="3"/>
        <v>891.17100000000005</v>
      </c>
      <c r="L103" s="11">
        <f t="shared" si="4"/>
        <v>2.413678182974982E-2</v>
      </c>
      <c r="M103" t="str">
        <v>Sep</v>
      </c>
      <c r="Q103" s="12">
        <f t="shared" ca="1" si="5"/>
        <v>46094.541705439813</v>
      </c>
    </row>
    <row r="104" spans="1:20" ht="29.4" thickBot="1" x14ac:dyDescent="0.35">
      <c r="A104" s="2" t="s">
        <v>44</v>
      </c>
      <c r="B104" s="2" t="s">
        <v>56</v>
      </c>
      <c r="C104" s="2" t="s">
        <v>34</v>
      </c>
      <c r="D104" s="2" t="s">
        <v>21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J104">
        <f t="shared" si="3"/>
        <v>811.27200000000005</v>
      </c>
      <c r="L104" s="11">
        <f t="shared" si="4"/>
        <v>-8.7566192349791502E-2</v>
      </c>
      <c r="M104" t="str">
        <v>Oct</v>
      </c>
      <c r="Q104" s="12">
        <f t="shared" ca="1" si="5"/>
        <v>46094.541705439813</v>
      </c>
    </row>
    <row r="105" spans="1:20" ht="29.4" thickBot="1" x14ac:dyDescent="0.35">
      <c r="A105" s="2" t="s">
        <v>13</v>
      </c>
      <c r="B105" s="2" t="s">
        <v>48</v>
      </c>
      <c r="C105" s="2" t="s">
        <v>24</v>
      </c>
      <c r="D105" s="2" t="s">
        <v>21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J105">
        <f t="shared" si="3"/>
        <v>925.29</v>
      </c>
      <c r="L105" s="11">
        <f t="shared" si="4"/>
        <v>0.39041813917798746</v>
      </c>
      <c r="M105" t="str">
        <v>Oct</v>
      </c>
      <c r="Q105" s="12">
        <f t="shared" ca="1" si="5"/>
        <v>46094.541705439813</v>
      </c>
    </row>
    <row r="106" spans="1:20" ht="29.4" thickBot="1" x14ac:dyDescent="0.35">
      <c r="A106" s="2" t="s">
        <v>54</v>
      </c>
      <c r="B106" s="2" t="s">
        <v>47</v>
      </c>
      <c r="C106" s="2" t="s">
        <v>18</v>
      </c>
      <c r="D106" s="2" t="s">
        <v>27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J106">
        <f t="shared" si="3"/>
        <v>1286.54</v>
      </c>
      <c r="L106" s="11">
        <f t="shared" si="4"/>
        <v>-0.25255336017535401</v>
      </c>
      <c r="M106" t="str">
        <v>Oct</v>
      </c>
      <c r="Q106" s="12">
        <f t="shared" ca="1" si="5"/>
        <v>46094.541705439813</v>
      </c>
    </row>
    <row r="107" spans="1:20" ht="29.4" thickBot="1" x14ac:dyDescent="0.35">
      <c r="A107" s="2" t="s">
        <v>37</v>
      </c>
      <c r="B107" s="2" t="s">
        <v>64</v>
      </c>
      <c r="C107" s="2" t="s">
        <v>20</v>
      </c>
      <c r="D107" s="2" t="s">
        <v>12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307.72000000000003</v>
      </c>
      <c r="J107">
        <f t="shared" si="3"/>
        <v>769.29600000000005</v>
      </c>
      <c r="L107" s="11">
        <f t="shared" si="4"/>
        <v>0.12429026018593634</v>
      </c>
      <c r="M107" t="str">
        <v>Oct</v>
      </c>
      <c r="Q107" s="12">
        <f t="shared" ca="1" si="5"/>
        <v>46094.541705439813</v>
      </c>
    </row>
    <row r="108" spans="1:20" ht="29.4" thickBot="1" x14ac:dyDescent="0.35">
      <c r="A108" s="2" t="s">
        <v>44</v>
      </c>
      <c r="B108" s="2" t="s">
        <v>23</v>
      </c>
      <c r="C108" s="2" t="s">
        <v>18</v>
      </c>
      <c r="D108" s="2" t="s">
        <v>12</v>
      </c>
      <c r="E108" s="3">
        <v>1081.1400000000001</v>
      </c>
      <c r="F108" s="3">
        <v>19</v>
      </c>
      <c r="G108" s="3">
        <v>0.15</v>
      </c>
      <c r="H108" s="4">
        <v>45577</v>
      </c>
      <c r="I108" s="3">
        <v>367.59</v>
      </c>
      <c r="J108">
        <f t="shared" si="3"/>
        <v>918.96900000000005</v>
      </c>
      <c r="L108" s="11">
        <f t="shared" si="4"/>
        <v>0.77928852877518162</v>
      </c>
      <c r="M108" t="str">
        <v>Oct</v>
      </c>
      <c r="Q108" s="12">
        <f t="shared" ca="1" si="5"/>
        <v>46094.541705439813</v>
      </c>
    </row>
    <row r="109" spans="1:20" ht="29.4" thickBot="1" x14ac:dyDescent="0.35">
      <c r="A109" s="2" t="s">
        <v>58</v>
      </c>
      <c r="B109" s="2" t="s">
        <v>23</v>
      </c>
      <c r="C109" s="2" t="s">
        <v>11</v>
      </c>
      <c r="D109" s="2" t="s">
        <v>15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J109">
        <f t="shared" si="3"/>
        <v>1538.9280000000001</v>
      </c>
      <c r="L109" s="11">
        <f t="shared" si="4"/>
        <v>-0.62118565650894653</v>
      </c>
      <c r="M109" t="str">
        <v>Oct</v>
      </c>
      <c r="Q109" s="12">
        <f t="shared" ca="1" si="5"/>
        <v>46094.541705439813</v>
      </c>
    </row>
    <row r="110" spans="1:20" ht="29.4" thickBot="1" x14ac:dyDescent="0.35">
      <c r="A110" s="2" t="s">
        <v>54</v>
      </c>
      <c r="B110" s="2" t="s">
        <v>66</v>
      </c>
      <c r="C110" s="2" t="s">
        <v>34</v>
      </c>
      <c r="D110" s="2" t="s">
        <v>15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J110">
        <f t="shared" si="3"/>
        <v>655.83900000000006</v>
      </c>
      <c r="L110" s="11">
        <f t="shared" si="4"/>
        <v>0.78656804490126397</v>
      </c>
      <c r="M110" t="str">
        <v>Oct</v>
      </c>
      <c r="Q110" s="12">
        <f t="shared" ca="1" si="5"/>
        <v>46094.541705439813</v>
      </c>
    </row>
    <row r="111" spans="1:20" ht="29.4" thickBot="1" x14ac:dyDescent="0.35">
      <c r="A111" s="2" t="s">
        <v>9</v>
      </c>
      <c r="B111" s="2" t="s">
        <v>33</v>
      </c>
      <c r="C111" s="2" t="s">
        <v>34</v>
      </c>
      <c r="D111" s="2" t="s">
        <v>15</v>
      </c>
      <c r="E111" s="3">
        <v>1301.8900000000001</v>
      </c>
      <c r="F111" s="3">
        <v>7</v>
      </c>
      <c r="G111" s="3">
        <v>0.15</v>
      </c>
      <c r="H111" s="4">
        <v>45581</v>
      </c>
      <c r="I111" s="3">
        <v>553.29999999999995</v>
      </c>
      <c r="J111">
        <f t="shared" si="3"/>
        <v>1106.6065000000001</v>
      </c>
      <c r="L111" s="11">
        <f t="shared" si="4"/>
        <v>-0.24710997088847761</v>
      </c>
      <c r="M111" t="str">
        <v>Oct</v>
      </c>
      <c r="Q111" s="12">
        <f t="shared" ca="1" si="5"/>
        <v>46094.541705439813</v>
      </c>
    </row>
    <row r="112" spans="1:20" ht="29.4" thickBot="1" x14ac:dyDescent="0.35">
      <c r="A112" s="2" t="s">
        <v>70</v>
      </c>
      <c r="B112" s="2" t="s">
        <v>66</v>
      </c>
      <c r="C112" s="2" t="s">
        <v>18</v>
      </c>
      <c r="D112" s="2" t="s">
        <v>12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J112">
        <f t="shared" si="3"/>
        <v>882.16199999999992</v>
      </c>
      <c r="L112" s="11">
        <f t="shared" si="4"/>
        <v>-0.28832459344202077</v>
      </c>
      <c r="M112" t="str">
        <v>Oct</v>
      </c>
      <c r="Q112" s="12">
        <f t="shared" ca="1" si="5"/>
        <v>46094.541705439813</v>
      </c>
    </row>
    <row r="113" spans="1:17" ht="29.4" thickBot="1" x14ac:dyDescent="0.35">
      <c r="A113" s="2" t="s">
        <v>74</v>
      </c>
      <c r="B113" s="2" t="s">
        <v>23</v>
      </c>
      <c r="C113" s="2" t="s">
        <v>11</v>
      </c>
      <c r="D113" s="2" t="s">
        <v>15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313.91000000000003</v>
      </c>
      <c r="J113">
        <f t="shared" si="3"/>
        <v>627.8130000000001</v>
      </c>
      <c r="L113" s="11">
        <f t="shared" si="4"/>
        <v>0.71109709419843148</v>
      </c>
      <c r="M113" t="str">
        <v>Oct</v>
      </c>
      <c r="Q113" s="12">
        <f t="shared" ca="1" si="5"/>
        <v>46094.541705439813</v>
      </c>
    </row>
    <row r="114" spans="1:17" ht="29.4" thickBot="1" x14ac:dyDescent="0.35">
      <c r="A114" s="2" t="s">
        <v>46</v>
      </c>
      <c r="B114" s="2" t="s">
        <v>71</v>
      </c>
      <c r="C114" s="2" t="s">
        <v>11</v>
      </c>
      <c r="D114" s="2" t="s">
        <v>27</v>
      </c>
      <c r="E114" s="3">
        <v>1193.6099999999999</v>
      </c>
      <c r="F114" s="3">
        <v>1</v>
      </c>
      <c r="G114" s="3">
        <v>0.15</v>
      </c>
      <c r="H114" s="4">
        <v>45584</v>
      </c>
      <c r="I114" s="3">
        <v>355.1</v>
      </c>
      <c r="J114">
        <f t="shared" si="3"/>
        <v>1014.5684999999999</v>
      </c>
      <c r="L114" s="11">
        <f t="shared" si="4"/>
        <v>-0.35404361558633052</v>
      </c>
      <c r="M114" t="str">
        <v>Oct</v>
      </c>
      <c r="Q114" s="12">
        <f t="shared" ca="1" si="5"/>
        <v>46094.541705439813</v>
      </c>
    </row>
    <row r="115" spans="1:17" ht="29.4" thickBot="1" x14ac:dyDescent="0.35">
      <c r="A115" s="2" t="s">
        <v>32</v>
      </c>
      <c r="B115" s="2" t="s">
        <v>38</v>
      </c>
      <c r="C115" s="2" t="s">
        <v>20</v>
      </c>
      <c r="D115" s="2" t="s">
        <v>21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J115">
        <f t="shared" si="3"/>
        <v>771.02</v>
      </c>
      <c r="L115" s="11">
        <f t="shared" si="4"/>
        <v>-0.1425773650488962</v>
      </c>
      <c r="M115" t="str">
        <v>Oct</v>
      </c>
      <c r="Q115" s="12">
        <f t="shared" ca="1" si="5"/>
        <v>46094.541705439813</v>
      </c>
    </row>
    <row r="116" spans="1:17" ht="29.4" thickBot="1" x14ac:dyDescent="0.35">
      <c r="A116" s="2" t="s">
        <v>67</v>
      </c>
      <c r="B116" s="2" t="s">
        <v>69</v>
      </c>
      <c r="C116" s="2" t="s">
        <v>24</v>
      </c>
      <c r="D116" s="2" t="s">
        <v>15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J116">
        <f t="shared" si="3"/>
        <v>528.87200000000007</v>
      </c>
      <c r="L116" s="11">
        <f t="shared" si="4"/>
        <v>4.1961003796759912E-2</v>
      </c>
      <c r="M116" t="str">
        <v>Oct</v>
      </c>
      <c r="Q116" s="12">
        <f t="shared" ca="1" si="5"/>
        <v>46094.541705439813</v>
      </c>
    </row>
    <row r="117" spans="1:17" ht="29.4" thickBot="1" x14ac:dyDescent="0.35">
      <c r="A117" s="2" t="s">
        <v>13</v>
      </c>
      <c r="B117" s="2" t="s">
        <v>55</v>
      </c>
      <c r="C117" s="2" t="s">
        <v>11</v>
      </c>
      <c r="D117" s="2" t="s">
        <v>21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J117">
        <f t="shared" si="3"/>
        <v>688.83</v>
      </c>
      <c r="L117" s="11">
        <f t="shared" si="4"/>
        <v>0.81336469085260488</v>
      </c>
      <c r="M117" t="str">
        <v>Oct</v>
      </c>
      <c r="Q117" s="12">
        <f t="shared" ca="1" si="5"/>
        <v>46094.541705439813</v>
      </c>
    </row>
    <row r="118" spans="1:17" ht="29.4" thickBot="1" x14ac:dyDescent="0.35">
      <c r="A118" s="2" t="s">
        <v>73</v>
      </c>
      <c r="B118" s="2" t="s">
        <v>29</v>
      </c>
      <c r="C118" s="2" t="s">
        <v>34</v>
      </c>
      <c r="D118" s="2" t="s">
        <v>12</v>
      </c>
      <c r="E118" s="3">
        <v>1249.0999999999999</v>
      </c>
      <c r="F118" s="3">
        <v>4</v>
      </c>
      <c r="G118" s="3">
        <v>0.05</v>
      </c>
      <c r="H118" s="4">
        <v>45597</v>
      </c>
      <c r="I118" s="3">
        <v>474.66</v>
      </c>
      <c r="J118">
        <f t="shared" si="3"/>
        <v>1186.645</v>
      </c>
      <c r="L118" s="11">
        <f t="shared" si="4"/>
        <v>-0.18803938835961884</v>
      </c>
      <c r="M118" t="str">
        <v>Nov</v>
      </c>
      <c r="Q118" s="12">
        <f t="shared" ca="1" si="5"/>
        <v>46094.541705439813</v>
      </c>
    </row>
    <row r="119" spans="1:17" ht="29.4" thickBot="1" x14ac:dyDescent="0.35">
      <c r="A119" s="2" t="s">
        <v>44</v>
      </c>
      <c r="B119" s="2" t="s">
        <v>23</v>
      </c>
      <c r="C119" s="2" t="s">
        <v>18</v>
      </c>
      <c r="D119" s="2" t="s">
        <v>39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J119">
        <f t="shared" si="3"/>
        <v>963.50900000000001</v>
      </c>
      <c r="L119" s="11">
        <f t="shared" si="4"/>
        <v>-3.5889649188538841E-3</v>
      </c>
      <c r="M119" t="str">
        <v>Nov</v>
      </c>
      <c r="Q119" s="12">
        <f t="shared" ca="1" si="5"/>
        <v>46094.541705439813</v>
      </c>
    </row>
    <row r="120" spans="1:17" ht="15" thickBot="1" x14ac:dyDescent="0.35">
      <c r="A120" s="2" t="s">
        <v>54</v>
      </c>
      <c r="B120" s="2" t="s">
        <v>48</v>
      </c>
      <c r="C120" s="2" t="s">
        <v>18</v>
      </c>
      <c r="D120" s="2" t="s">
        <v>12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J120">
        <f t="shared" si="3"/>
        <v>858.99300000000005</v>
      </c>
      <c r="L120" s="11">
        <f t="shared" si="4"/>
        <v>-5.2732094440816238E-2</v>
      </c>
      <c r="M120" t="str">
        <v>Nov</v>
      </c>
      <c r="Q120" s="12">
        <f t="shared" ca="1" si="5"/>
        <v>46094.541705439813</v>
      </c>
    </row>
    <row r="121" spans="1:17" ht="29.4" thickBot="1" x14ac:dyDescent="0.35">
      <c r="A121" s="2" t="s">
        <v>30</v>
      </c>
      <c r="B121" s="2" t="s">
        <v>59</v>
      </c>
      <c r="C121" s="2" t="s">
        <v>24</v>
      </c>
      <c r="D121" s="2" t="s">
        <v>27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J121">
        <f t="shared" si="3"/>
        <v>909.42549999999994</v>
      </c>
      <c r="L121" s="11">
        <f t="shared" si="4"/>
        <v>0.12601197129396538</v>
      </c>
      <c r="M121" t="str">
        <v>Nov</v>
      </c>
      <c r="Q121" s="12">
        <f t="shared" ca="1" si="5"/>
        <v>46094.541705439813</v>
      </c>
    </row>
    <row r="122" spans="1:17" ht="29.4" thickBot="1" x14ac:dyDescent="0.35">
      <c r="A122" s="2" t="s">
        <v>28</v>
      </c>
      <c r="B122" s="2" t="s">
        <v>45</v>
      </c>
      <c r="C122" s="2" t="s">
        <v>24</v>
      </c>
      <c r="D122" s="2" t="s">
        <v>27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J122">
        <f t="shared" si="3"/>
        <v>1024.0240000000001</v>
      </c>
      <c r="L122" s="11">
        <f t="shared" si="4"/>
        <v>7.8939067834347551E-2</v>
      </c>
      <c r="M122" t="str">
        <v>Nov</v>
      </c>
      <c r="Q122" s="12">
        <f t="shared" ca="1" si="5"/>
        <v>46094.541705439813</v>
      </c>
    </row>
    <row r="123" spans="1:17" ht="29.4" thickBot="1" x14ac:dyDescent="0.35">
      <c r="A123" s="2" t="s">
        <v>52</v>
      </c>
      <c r="B123" s="2" t="s">
        <v>50</v>
      </c>
      <c r="C123" s="2" t="s">
        <v>20</v>
      </c>
      <c r="D123" s="2" t="s">
        <v>15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J123">
        <f t="shared" si="3"/>
        <v>1163.01</v>
      </c>
      <c r="L123" s="11">
        <f t="shared" si="4"/>
        <v>-0.12764292654405382</v>
      </c>
      <c r="M123" t="str">
        <v>Nov</v>
      </c>
      <c r="Q123" s="12">
        <f t="shared" ca="1" si="5"/>
        <v>46094.541705439813</v>
      </c>
    </row>
    <row r="124" spans="1:17" ht="29.4" thickBot="1" x14ac:dyDescent="0.35">
      <c r="A124" s="2" t="s">
        <v>54</v>
      </c>
      <c r="B124" s="2" t="s">
        <v>45</v>
      </c>
      <c r="C124" s="2" t="s">
        <v>18</v>
      </c>
      <c r="D124" s="2" t="s">
        <v>39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J124">
        <f t="shared" si="3"/>
        <v>913.10399999999993</v>
      </c>
      <c r="L124" s="11">
        <f t="shared" si="4"/>
        <v>-0.29226462703043682</v>
      </c>
      <c r="M124" t="str">
        <v>Nov</v>
      </c>
      <c r="Q124" s="12">
        <f t="shared" ca="1" si="5"/>
        <v>46094.541705439813</v>
      </c>
    </row>
    <row r="125" spans="1:17" ht="29.4" thickBot="1" x14ac:dyDescent="0.35">
      <c r="A125" s="2" t="s">
        <v>9</v>
      </c>
      <c r="B125" s="2" t="s">
        <v>17</v>
      </c>
      <c r="C125" s="2" t="s">
        <v>20</v>
      </c>
      <c r="D125" s="2" t="s">
        <v>21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J125">
        <f t="shared" si="3"/>
        <v>718.04</v>
      </c>
      <c r="L125" s="11">
        <f t="shared" si="4"/>
        <v>0.77963623196479304</v>
      </c>
      <c r="M125" t="str">
        <v>Nov</v>
      </c>
      <c r="Q125" s="12">
        <f t="shared" ca="1" si="5"/>
        <v>46094.541705439813</v>
      </c>
    </row>
    <row r="126" spans="1:17" ht="29.4" thickBot="1" x14ac:dyDescent="0.35">
      <c r="A126" s="2" t="s">
        <v>72</v>
      </c>
      <c r="B126" s="2" t="s">
        <v>17</v>
      </c>
      <c r="C126" s="2" t="s">
        <v>34</v>
      </c>
      <c r="D126" s="2" t="s">
        <v>15</v>
      </c>
      <c r="E126" s="3">
        <v>1277.8499999999999</v>
      </c>
      <c r="F126" s="3">
        <v>18</v>
      </c>
      <c r="G126" s="3">
        <v>0.2</v>
      </c>
      <c r="H126" s="4">
        <v>45613</v>
      </c>
      <c r="I126" s="3">
        <v>511.14</v>
      </c>
      <c r="J126">
        <f t="shared" si="3"/>
        <v>1022.28</v>
      </c>
      <c r="L126" s="11">
        <f t="shared" si="4"/>
        <v>-0.44693821653558707</v>
      </c>
      <c r="M126" t="str">
        <v>Nov</v>
      </c>
      <c r="Q126" s="12">
        <f t="shared" ca="1" si="5"/>
        <v>46094.541705439813</v>
      </c>
    </row>
    <row r="127" spans="1:17" ht="29.4" thickBot="1" x14ac:dyDescent="0.35">
      <c r="A127" s="2" t="s">
        <v>70</v>
      </c>
      <c r="B127" s="2" t="s">
        <v>23</v>
      </c>
      <c r="C127" s="2" t="s">
        <v>24</v>
      </c>
      <c r="D127" s="2" t="s">
        <v>21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J127">
        <f t="shared" si="3"/>
        <v>600.72050000000002</v>
      </c>
      <c r="L127" s="11">
        <f t="shared" si="4"/>
        <v>0.99593904319895843</v>
      </c>
      <c r="M127" t="str">
        <v>Nov</v>
      </c>
      <c r="Q127" s="12">
        <f t="shared" ca="1" si="5"/>
        <v>46094.541705439813</v>
      </c>
    </row>
    <row r="128" spans="1:17" ht="29.4" thickBot="1" x14ac:dyDescent="0.35">
      <c r="A128" s="2" t="s">
        <v>65</v>
      </c>
      <c r="B128" s="2" t="s">
        <v>50</v>
      </c>
      <c r="C128" s="2" t="s">
        <v>18</v>
      </c>
      <c r="D128" s="2" t="s">
        <v>21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J128">
        <f t="shared" si="3"/>
        <v>1410.59</v>
      </c>
      <c r="L128" s="11">
        <f t="shared" si="4"/>
        <v>-4.2719713027881946E-2</v>
      </c>
      <c r="M128" t="str">
        <v>Nov</v>
      </c>
      <c r="Q128" s="12">
        <f t="shared" ca="1" si="5"/>
        <v>46094.541705439813</v>
      </c>
    </row>
    <row r="129" spans="1:17" ht="29.4" thickBot="1" x14ac:dyDescent="0.35">
      <c r="A129" s="2" t="s">
        <v>32</v>
      </c>
      <c r="B129" s="2" t="s">
        <v>61</v>
      </c>
      <c r="C129" s="2" t="s">
        <v>20</v>
      </c>
      <c r="D129" s="2" t="s">
        <v>27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J129">
        <f t="shared" si="3"/>
        <v>1350.33</v>
      </c>
      <c r="L129" s="11">
        <f t="shared" si="4"/>
        <v>-0.31929232113631484</v>
      </c>
      <c r="M129" t="str">
        <v>Nov</v>
      </c>
      <c r="Q129" s="12">
        <f t="shared" ca="1" si="5"/>
        <v>46094.541705439813</v>
      </c>
    </row>
    <row r="130" spans="1:17" ht="29.4" thickBot="1" x14ac:dyDescent="0.35">
      <c r="A130" s="2" t="s">
        <v>41</v>
      </c>
      <c r="B130" s="2" t="s">
        <v>45</v>
      </c>
      <c r="C130" s="2" t="s">
        <v>18</v>
      </c>
      <c r="D130" s="2" t="s">
        <v>21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J130">
        <f t="shared" si="3"/>
        <v>781.303</v>
      </c>
      <c r="L130" s="11">
        <f t="shared" si="4"/>
        <v>-0.71876019930807888</v>
      </c>
      <c r="M130" t="str">
        <v>Nov</v>
      </c>
      <c r="Q130" s="12">
        <f t="shared" ca="1" si="5"/>
        <v>46094.541705439813</v>
      </c>
    </row>
    <row r="131" spans="1:17" ht="29.4" thickBot="1" x14ac:dyDescent="0.35">
      <c r="A131" s="2" t="s">
        <v>74</v>
      </c>
      <c r="B131" s="2" t="s">
        <v>23</v>
      </c>
      <c r="C131" s="2" t="s">
        <v>11</v>
      </c>
      <c r="D131" s="2" t="s">
        <v>21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J131">
        <f t="shared" ref="J131:J194" si="6">E131-(E131*G131)</f>
        <v>258.51</v>
      </c>
      <c r="L131" s="11">
        <f t="shared" ref="L131:L194" si="7">(E132-E131)/E131</f>
        <v>3.6941317550578319</v>
      </c>
      <c r="M131" t="str">
        <v>Nov</v>
      </c>
      <c r="Q131" s="12">
        <f t="shared" ref="Q131:Q194" ca="1" si="8">NOW()</f>
        <v>46094.541705439813</v>
      </c>
    </row>
    <row r="132" spans="1:17" ht="29.4" thickBot="1" x14ac:dyDescent="0.35">
      <c r="A132" s="2" t="s">
        <v>63</v>
      </c>
      <c r="B132" s="2" t="s">
        <v>61</v>
      </c>
      <c r="C132" s="2" t="s">
        <v>18</v>
      </c>
      <c r="D132" s="2" t="s">
        <v>12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J132">
        <f t="shared" si="6"/>
        <v>1152.806</v>
      </c>
      <c r="L132" s="11">
        <f t="shared" si="7"/>
        <v>-5.2081616507894689E-2</v>
      </c>
      <c r="M132" t="str">
        <v>Nov</v>
      </c>
      <c r="Q132" s="12">
        <f t="shared" ca="1" si="8"/>
        <v>46094.541705439813</v>
      </c>
    </row>
    <row r="133" spans="1:17" ht="29.4" thickBot="1" x14ac:dyDescent="0.35">
      <c r="A133" s="2" t="s">
        <v>57</v>
      </c>
      <c r="B133" s="2" t="s">
        <v>38</v>
      </c>
      <c r="C133" s="2" t="s">
        <v>34</v>
      </c>
      <c r="D133" s="2" t="s">
        <v>12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J133">
        <f t="shared" si="6"/>
        <v>1092.7660000000001</v>
      </c>
      <c r="L133" s="11">
        <f t="shared" si="7"/>
        <v>-0.25769377890600548</v>
      </c>
      <c r="M133" t="str">
        <v>Nov</v>
      </c>
      <c r="Q133" s="12">
        <f t="shared" ca="1" si="8"/>
        <v>46094.541705439813</v>
      </c>
    </row>
    <row r="134" spans="1:17" ht="29.4" thickBot="1" x14ac:dyDescent="0.35">
      <c r="A134" s="2" t="s">
        <v>37</v>
      </c>
      <c r="B134" s="2" t="s">
        <v>71</v>
      </c>
      <c r="C134" s="2" t="s">
        <v>20</v>
      </c>
      <c r="D134" s="2" t="s">
        <v>27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268.97000000000003</v>
      </c>
      <c r="J134">
        <f t="shared" si="6"/>
        <v>768.47400000000005</v>
      </c>
      <c r="L134" s="11">
        <f t="shared" si="7"/>
        <v>0.24263930855175314</v>
      </c>
      <c r="M134" t="str">
        <v>Nov</v>
      </c>
      <c r="Q134" s="12">
        <f t="shared" ca="1" si="8"/>
        <v>46094.541705439813</v>
      </c>
    </row>
    <row r="135" spans="1:17" ht="29.4" thickBot="1" x14ac:dyDescent="0.35">
      <c r="A135" s="2" t="s">
        <v>75</v>
      </c>
      <c r="B135" s="2" t="s">
        <v>45</v>
      </c>
      <c r="C135" s="2" t="s">
        <v>20</v>
      </c>
      <c r="D135" s="2" t="s">
        <v>21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J135">
        <f t="shared" si="6"/>
        <v>1061.04</v>
      </c>
      <c r="L135" s="11">
        <f t="shared" si="7"/>
        <v>-0.15691208625499511</v>
      </c>
      <c r="M135" t="str">
        <v>Nov</v>
      </c>
      <c r="Q135" s="12">
        <f t="shared" ca="1" si="8"/>
        <v>46094.541705439813</v>
      </c>
    </row>
    <row r="136" spans="1:17" ht="29.4" thickBot="1" x14ac:dyDescent="0.35">
      <c r="A136" s="2" t="s">
        <v>28</v>
      </c>
      <c r="B136" s="2" t="s">
        <v>43</v>
      </c>
      <c r="C136" s="2" t="s">
        <v>11</v>
      </c>
      <c r="D136" s="2" t="s">
        <v>21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J136">
        <f t="shared" si="6"/>
        <v>715.64</v>
      </c>
      <c r="L136" s="11">
        <f t="shared" si="7"/>
        <v>-6.778827343356994E-2</v>
      </c>
      <c r="M136" t="str">
        <v>Nov</v>
      </c>
      <c r="Q136" s="12">
        <f t="shared" ca="1" si="8"/>
        <v>46094.541705439813</v>
      </c>
    </row>
    <row r="137" spans="1:17" ht="29.4" thickBot="1" x14ac:dyDescent="0.35">
      <c r="A137" s="2" t="s">
        <v>25</v>
      </c>
      <c r="B137" s="2" t="s">
        <v>38</v>
      </c>
      <c r="C137" s="2" t="s">
        <v>24</v>
      </c>
      <c r="D137" s="2" t="s">
        <v>39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J137">
        <f t="shared" si="6"/>
        <v>792.21449999999993</v>
      </c>
      <c r="L137" s="11">
        <f t="shared" si="7"/>
        <v>-1.6452614790564826E-2</v>
      </c>
      <c r="M137" t="str">
        <v>Nov</v>
      </c>
      <c r="Q137" s="12">
        <f t="shared" ca="1" si="8"/>
        <v>46094.541705439813</v>
      </c>
    </row>
    <row r="138" spans="1:17" ht="29.4" thickBot="1" x14ac:dyDescent="0.35">
      <c r="A138" s="2" t="s">
        <v>58</v>
      </c>
      <c r="B138" s="2" t="s">
        <v>71</v>
      </c>
      <c r="C138" s="2" t="s">
        <v>11</v>
      </c>
      <c r="D138" s="2" t="s">
        <v>27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J138">
        <f t="shared" si="6"/>
        <v>656.15200000000004</v>
      </c>
      <c r="L138" s="11">
        <f t="shared" si="7"/>
        <v>-0.37607139809068635</v>
      </c>
      <c r="M138" t="str">
        <v>Dec</v>
      </c>
      <c r="Q138" s="12">
        <f t="shared" ca="1" si="8"/>
        <v>46094.541705439813</v>
      </c>
    </row>
    <row r="139" spans="1:17" ht="29.4" thickBot="1" x14ac:dyDescent="0.35">
      <c r="A139" s="2" t="s">
        <v>58</v>
      </c>
      <c r="B139" s="2" t="s">
        <v>38</v>
      </c>
      <c r="C139" s="2" t="s">
        <v>34</v>
      </c>
      <c r="D139" s="2" t="s">
        <v>21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J139">
        <f t="shared" si="6"/>
        <v>486.15300000000002</v>
      </c>
      <c r="L139" s="11">
        <f t="shared" si="7"/>
        <v>0.57507718763434545</v>
      </c>
      <c r="M139" t="str">
        <v>Dec</v>
      </c>
      <c r="Q139" s="12">
        <f t="shared" ca="1" si="8"/>
        <v>46094.541705439813</v>
      </c>
    </row>
    <row r="140" spans="1:17" ht="29.4" thickBot="1" x14ac:dyDescent="0.35">
      <c r="A140" s="2" t="s">
        <v>65</v>
      </c>
      <c r="B140" s="2" t="s">
        <v>61</v>
      </c>
      <c r="C140" s="2" t="s">
        <v>20</v>
      </c>
      <c r="D140" s="2" t="s">
        <v>27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J140">
        <f t="shared" si="6"/>
        <v>765.72849999999994</v>
      </c>
      <c r="L140" s="11">
        <f t="shared" si="7"/>
        <v>0.77719191593365022</v>
      </c>
      <c r="M140" t="str">
        <v>Dec</v>
      </c>
      <c r="Q140" s="12">
        <f t="shared" ca="1" si="8"/>
        <v>46094.541705439813</v>
      </c>
    </row>
    <row r="141" spans="1:17" ht="29.4" thickBot="1" x14ac:dyDescent="0.35">
      <c r="A141" s="2" t="s">
        <v>28</v>
      </c>
      <c r="B141" s="2" t="s">
        <v>26</v>
      </c>
      <c r="C141" s="2" t="s">
        <v>34</v>
      </c>
      <c r="D141" s="2" t="s">
        <v>27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J141">
        <f t="shared" si="6"/>
        <v>1217.5995</v>
      </c>
      <c r="L141" s="11">
        <f t="shared" si="7"/>
        <v>3.9170104784044271E-2</v>
      </c>
      <c r="M141" t="str">
        <v>Dec</v>
      </c>
      <c r="Q141" s="12">
        <f t="shared" ca="1" si="8"/>
        <v>46094.541705439813</v>
      </c>
    </row>
    <row r="142" spans="1:17" ht="29.4" thickBot="1" x14ac:dyDescent="0.35">
      <c r="A142" s="2" t="s">
        <v>74</v>
      </c>
      <c r="B142" s="2" t="s">
        <v>29</v>
      </c>
      <c r="C142" s="2" t="s">
        <v>34</v>
      </c>
      <c r="D142" s="2" t="s">
        <v>21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J142">
        <f t="shared" si="6"/>
        <v>1265.2929999999999</v>
      </c>
      <c r="L142" s="11">
        <f t="shared" si="7"/>
        <v>-0.17286272823764928</v>
      </c>
      <c r="M142" t="str">
        <v>Dec</v>
      </c>
      <c r="Q142" s="12">
        <f t="shared" ca="1" si="8"/>
        <v>46094.541705439813</v>
      </c>
    </row>
    <row r="143" spans="1:17" ht="29.4" thickBot="1" x14ac:dyDescent="0.35">
      <c r="A143" s="2" t="s">
        <v>30</v>
      </c>
      <c r="B143" s="2" t="s">
        <v>66</v>
      </c>
      <c r="C143" s="2" t="s">
        <v>18</v>
      </c>
      <c r="D143" s="2" t="s">
        <v>12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J143">
        <f t="shared" si="6"/>
        <v>1231.26</v>
      </c>
      <c r="L143" s="11">
        <f t="shared" si="7"/>
        <v>-5.651933791400672E-2</v>
      </c>
      <c r="M143" t="str">
        <v>Dec</v>
      </c>
      <c r="Q143" s="12">
        <f t="shared" ca="1" si="8"/>
        <v>46094.541705439813</v>
      </c>
    </row>
    <row r="144" spans="1:17" ht="29.4" thickBot="1" x14ac:dyDescent="0.35">
      <c r="A144" s="2" t="s">
        <v>30</v>
      </c>
      <c r="B144" s="2" t="s">
        <v>43</v>
      </c>
      <c r="C144" s="2" t="s">
        <v>11</v>
      </c>
      <c r="D144" s="2" t="s">
        <v>21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J144">
        <f t="shared" si="6"/>
        <v>929.33600000000001</v>
      </c>
      <c r="L144" s="11">
        <f t="shared" si="7"/>
        <v>-0.66580009813458207</v>
      </c>
      <c r="M144" t="str">
        <v>Dec</v>
      </c>
      <c r="Q144" s="12">
        <f t="shared" ca="1" si="8"/>
        <v>46094.541705439813</v>
      </c>
    </row>
    <row r="145" spans="1:17" ht="29.4" thickBot="1" x14ac:dyDescent="0.35">
      <c r="A145" s="2" t="s">
        <v>49</v>
      </c>
      <c r="B145" s="2" t="s">
        <v>45</v>
      </c>
      <c r="C145" s="2" t="s">
        <v>34</v>
      </c>
      <c r="D145" s="2" t="s">
        <v>39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J145">
        <f t="shared" si="6"/>
        <v>368.81850000000003</v>
      </c>
      <c r="L145" s="11">
        <f t="shared" si="7"/>
        <v>3.0940164335574272</v>
      </c>
      <c r="M145" t="str">
        <v>Dec</v>
      </c>
      <c r="Q145" s="12">
        <f t="shared" ca="1" si="8"/>
        <v>46094.541705439813</v>
      </c>
    </row>
    <row r="146" spans="1:17" ht="29.4" thickBot="1" x14ac:dyDescent="0.35">
      <c r="A146" s="2" t="s">
        <v>72</v>
      </c>
      <c r="B146" s="2" t="s">
        <v>31</v>
      </c>
      <c r="C146" s="2" t="s">
        <v>24</v>
      </c>
      <c r="D146" s="2" t="s">
        <v>15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J146">
        <f t="shared" si="6"/>
        <v>1351.0070000000001</v>
      </c>
      <c r="L146" s="11">
        <f t="shared" si="7"/>
        <v>-0.78818688578223495</v>
      </c>
      <c r="M146" t="str">
        <v>Dec</v>
      </c>
      <c r="Q146" s="12">
        <f t="shared" ca="1" si="8"/>
        <v>46094.541705439813</v>
      </c>
    </row>
    <row r="147" spans="1:17" ht="29.4" thickBot="1" x14ac:dyDescent="0.35">
      <c r="A147" s="2" t="s">
        <v>28</v>
      </c>
      <c r="B147" s="2" t="s">
        <v>71</v>
      </c>
      <c r="C147" s="2" t="s">
        <v>24</v>
      </c>
      <c r="D147" s="2" t="s">
        <v>15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J147">
        <f t="shared" si="6"/>
        <v>269.32800000000003</v>
      </c>
      <c r="L147" s="11">
        <f t="shared" si="7"/>
        <v>3.0212380443177085</v>
      </c>
      <c r="M147" t="str">
        <v>Dec</v>
      </c>
      <c r="Q147" s="12">
        <f t="shared" ca="1" si="8"/>
        <v>46094.541705439813</v>
      </c>
    </row>
    <row r="148" spans="1:17" ht="29.4" thickBot="1" x14ac:dyDescent="0.35">
      <c r="A148" s="2" t="s">
        <v>49</v>
      </c>
      <c r="B148" s="2" t="s">
        <v>23</v>
      </c>
      <c r="C148" s="2" t="s">
        <v>11</v>
      </c>
      <c r="D148" s="2" t="s">
        <v>12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J148">
        <f t="shared" si="6"/>
        <v>1218.4110000000001</v>
      </c>
      <c r="L148" s="11">
        <f t="shared" si="7"/>
        <v>-0.51055185811684234</v>
      </c>
      <c r="M148" t="str">
        <v>Dec</v>
      </c>
      <c r="Q148" s="12">
        <f t="shared" ca="1" si="8"/>
        <v>46094.541705439813</v>
      </c>
    </row>
    <row r="149" spans="1:17" ht="29.4" thickBot="1" x14ac:dyDescent="0.35">
      <c r="A149" s="2" t="s">
        <v>63</v>
      </c>
      <c r="B149" s="2" t="s">
        <v>69</v>
      </c>
      <c r="C149" s="2" t="s">
        <v>34</v>
      </c>
      <c r="D149" s="2" t="s">
        <v>15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J149">
        <f t="shared" si="6"/>
        <v>629.47950000000003</v>
      </c>
      <c r="L149" s="11">
        <f t="shared" si="7"/>
        <v>-0.53302847829039701</v>
      </c>
      <c r="M149" t="str">
        <v>Jan</v>
      </c>
      <c r="Q149" s="12">
        <f t="shared" ca="1" si="8"/>
        <v>46094.541705439813</v>
      </c>
    </row>
    <row r="150" spans="1:17" ht="29.4" thickBot="1" x14ac:dyDescent="0.35">
      <c r="A150" s="2" t="s">
        <v>52</v>
      </c>
      <c r="B150" s="2" t="s">
        <v>48</v>
      </c>
      <c r="C150" s="2" t="s">
        <v>24</v>
      </c>
      <c r="D150" s="2" t="s">
        <v>39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J150">
        <f t="shared" si="6"/>
        <v>247.536</v>
      </c>
      <c r="L150" s="11">
        <f t="shared" si="7"/>
        <v>1.8589942473014027</v>
      </c>
      <c r="M150" t="str">
        <v>Jan</v>
      </c>
      <c r="Q150" s="12">
        <f t="shared" ca="1" si="8"/>
        <v>46094.541705439813</v>
      </c>
    </row>
    <row r="151" spans="1:17" ht="29.4" thickBot="1" x14ac:dyDescent="0.35">
      <c r="A151" s="2" t="s">
        <v>63</v>
      </c>
      <c r="B151" s="2" t="s">
        <v>29</v>
      </c>
      <c r="C151" s="2" t="s">
        <v>24</v>
      </c>
      <c r="D151" s="2" t="s">
        <v>12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318.47000000000003</v>
      </c>
      <c r="J151">
        <f t="shared" si="6"/>
        <v>796.16700000000003</v>
      </c>
      <c r="L151" s="11">
        <f t="shared" si="7"/>
        <v>-0.15778348009902449</v>
      </c>
      <c r="M151" t="str">
        <v>Jan</v>
      </c>
      <c r="Q151" s="12">
        <f t="shared" ca="1" si="8"/>
        <v>46094.541705439813</v>
      </c>
    </row>
    <row r="152" spans="1:17" ht="29.4" thickBot="1" x14ac:dyDescent="0.35">
      <c r="A152" s="2" t="s">
        <v>52</v>
      </c>
      <c r="B152" s="2" t="s">
        <v>23</v>
      </c>
      <c r="C152" s="2" t="s">
        <v>34</v>
      </c>
      <c r="D152" s="2" t="s">
        <v>39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J152">
        <f t="shared" si="6"/>
        <v>670.54499999999996</v>
      </c>
      <c r="L152" s="11">
        <f t="shared" si="7"/>
        <v>0.16801556942487092</v>
      </c>
      <c r="M152" t="str">
        <v>Jan</v>
      </c>
      <c r="Q152" s="12">
        <f t="shared" ca="1" si="8"/>
        <v>46094.541705439813</v>
      </c>
    </row>
    <row r="153" spans="1:17" ht="29.4" thickBot="1" x14ac:dyDescent="0.35">
      <c r="A153" s="2" t="s">
        <v>60</v>
      </c>
      <c r="B153" s="2" t="s">
        <v>17</v>
      </c>
      <c r="C153" s="2" t="s">
        <v>20</v>
      </c>
      <c r="D153" s="2" t="s">
        <v>15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J153">
        <f t="shared" si="6"/>
        <v>826.71850000000006</v>
      </c>
      <c r="L153" s="11">
        <f t="shared" si="7"/>
        <v>-9.2389368327912887E-3</v>
      </c>
      <c r="M153" t="str">
        <v>Jan</v>
      </c>
      <c r="Q153" s="12">
        <f t="shared" ca="1" si="8"/>
        <v>46094.541705439813</v>
      </c>
    </row>
    <row r="154" spans="1:17" ht="29.4" thickBot="1" x14ac:dyDescent="0.35">
      <c r="A154" s="2" t="s">
        <v>35</v>
      </c>
      <c r="B154" s="2" t="s">
        <v>29</v>
      </c>
      <c r="C154" s="2" t="s">
        <v>11</v>
      </c>
      <c r="D154" s="2" t="s">
        <v>27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J154">
        <f t="shared" si="6"/>
        <v>819.08050000000003</v>
      </c>
      <c r="L154" s="11">
        <f t="shared" si="7"/>
        <v>0.3583780837170461</v>
      </c>
      <c r="M154" t="str">
        <v>Jan</v>
      </c>
      <c r="Q154" s="12">
        <f t="shared" ca="1" si="8"/>
        <v>46094.541705439813</v>
      </c>
    </row>
    <row r="155" spans="1:17" ht="29.4" thickBot="1" x14ac:dyDescent="0.35">
      <c r="A155" s="2" t="s">
        <v>73</v>
      </c>
      <c r="B155" s="2" t="s">
        <v>59</v>
      </c>
      <c r="C155" s="2" t="s">
        <v>24</v>
      </c>
      <c r="D155" s="2" t="s">
        <v>15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556.30999999999995</v>
      </c>
      <c r="J155">
        <f t="shared" si="6"/>
        <v>1112.6210000000001</v>
      </c>
      <c r="L155" s="11">
        <f t="shared" si="7"/>
        <v>-9.9574787820830374E-2</v>
      </c>
      <c r="M155" t="str">
        <v>Jan</v>
      </c>
      <c r="Q155" s="12">
        <f t="shared" ca="1" si="8"/>
        <v>46094.541705439813</v>
      </c>
    </row>
    <row r="156" spans="1:17" ht="29.4" thickBot="1" x14ac:dyDescent="0.35">
      <c r="A156" s="2" t="s">
        <v>58</v>
      </c>
      <c r="B156" s="2" t="s">
        <v>14</v>
      </c>
      <c r="C156" s="2" t="s">
        <v>20</v>
      </c>
      <c r="D156" s="2" t="s">
        <v>27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J156">
        <f t="shared" si="6"/>
        <v>949.10399999999993</v>
      </c>
      <c r="L156" s="11">
        <f t="shared" si="7"/>
        <v>0.59422887270520419</v>
      </c>
      <c r="M156" t="str">
        <v>Jan</v>
      </c>
      <c r="Q156" s="12">
        <f t="shared" ca="1" si="8"/>
        <v>46094.541705439813</v>
      </c>
    </row>
    <row r="157" spans="1:17" ht="29.4" thickBot="1" x14ac:dyDescent="0.35">
      <c r="A157" s="2" t="s">
        <v>58</v>
      </c>
      <c r="B157" s="2" t="s">
        <v>23</v>
      </c>
      <c r="C157" s="2" t="s">
        <v>24</v>
      </c>
      <c r="D157" s="2" t="s">
        <v>21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J157">
        <f t="shared" si="6"/>
        <v>1344.9680000000001</v>
      </c>
      <c r="L157" s="11">
        <f t="shared" si="7"/>
        <v>-0.77410912378584473</v>
      </c>
      <c r="M157" t="str">
        <v>Jan</v>
      </c>
      <c r="Q157" s="12">
        <f t="shared" ca="1" si="8"/>
        <v>46094.541705439813</v>
      </c>
    </row>
    <row r="158" spans="1:17" ht="29.4" thickBot="1" x14ac:dyDescent="0.35">
      <c r="A158" s="2" t="s">
        <v>58</v>
      </c>
      <c r="B158" s="2" t="s">
        <v>36</v>
      </c>
      <c r="C158" s="2" t="s">
        <v>11</v>
      </c>
      <c r="D158" s="2" t="s">
        <v>15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J158">
        <f t="shared" si="6"/>
        <v>360.78149999999999</v>
      </c>
      <c r="L158" s="11">
        <f t="shared" si="7"/>
        <v>1.8341627827369196</v>
      </c>
      <c r="M158" t="str">
        <v>Jan</v>
      </c>
      <c r="Q158" s="12">
        <f t="shared" ca="1" si="8"/>
        <v>46094.541705439813</v>
      </c>
    </row>
    <row r="159" spans="1:17" ht="29.4" thickBot="1" x14ac:dyDescent="0.35">
      <c r="A159" s="2" t="s">
        <v>44</v>
      </c>
      <c r="B159" s="2" t="s">
        <v>45</v>
      </c>
      <c r="C159" s="2" t="s">
        <v>34</v>
      </c>
      <c r="D159" s="2" t="s">
        <v>15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J159">
        <f t="shared" si="6"/>
        <v>968.69699999999989</v>
      </c>
      <c r="L159" s="11">
        <f t="shared" si="7"/>
        <v>0.16201350886809818</v>
      </c>
      <c r="M159" t="str">
        <v>Jan</v>
      </c>
      <c r="Q159" s="12">
        <f t="shared" ca="1" si="8"/>
        <v>46094.541705439813</v>
      </c>
    </row>
    <row r="160" spans="1:17" ht="29.4" thickBot="1" x14ac:dyDescent="0.35">
      <c r="A160" s="2" t="s">
        <v>44</v>
      </c>
      <c r="B160" s="2" t="s">
        <v>31</v>
      </c>
      <c r="C160" s="2" t="s">
        <v>34</v>
      </c>
      <c r="D160" s="2" t="s">
        <v>39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562.82000000000005</v>
      </c>
      <c r="J160">
        <f t="shared" si="6"/>
        <v>1250.71</v>
      </c>
      <c r="L160" s="11">
        <f t="shared" si="7"/>
        <v>-0.10583588521719672</v>
      </c>
      <c r="M160" t="str">
        <v>Jan</v>
      </c>
      <c r="Q160" s="12">
        <f t="shared" ca="1" si="8"/>
        <v>46094.541705439813</v>
      </c>
    </row>
    <row r="161" spans="1:17" ht="29.4" thickBot="1" x14ac:dyDescent="0.35">
      <c r="A161" s="2" t="s">
        <v>40</v>
      </c>
      <c r="B161" s="2" t="s">
        <v>17</v>
      </c>
      <c r="C161" s="2" t="s">
        <v>20</v>
      </c>
      <c r="D161" s="2" t="s">
        <v>15</v>
      </c>
      <c r="E161" s="3">
        <v>1118.3399999999999</v>
      </c>
      <c r="F161" s="3">
        <v>6</v>
      </c>
      <c r="G161" s="3">
        <v>0.2</v>
      </c>
      <c r="H161" s="4">
        <v>45674</v>
      </c>
      <c r="I161" s="3">
        <v>447.34</v>
      </c>
      <c r="J161">
        <f t="shared" si="6"/>
        <v>894.67199999999991</v>
      </c>
      <c r="L161" s="11">
        <f t="shared" si="7"/>
        <v>0.45091832537510956</v>
      </c>
      <c r="M161" t="str">
        <v>Jan</v>
      </c>
      <c r="Q161" s="12">
        <f t="shared" ca="1" si="8"/>
        <v>46094.541705439813</v>
      </c>
    </row>
    <row r="162" spans="1:17" ht="29.4" thickBot="1" x14ac:dyDescent="0.35">
      <c r="A162" s="2" t="s">
        <v>70</v>
      </c>
      <c r="B162" s="2" t="s">
        <v>53</v>
      </c>
      <c r="C162" s="2" t="s">
        <v>24</v>
      </c>
      <c r="D162" s="2" t="s">
        <v>15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649.04999999999995</v>
      </c>
      <c r="J162">
        <f t="shared" si="6"/>
        <v>1298.096</v>
      </c>
      <c r="L162" s="11">
        <f t="shared" si="7"/>
        <v>-0.60518174310682726</v>
      </c>
      <c r="M162" t="str">
        <v>Jan</v>
      </c>
      <c r="Q162" s="12">
        <f t="shared" ca="1" si="8"/>
        <v>46094.541705439813</v>
      </c>
    </row>
    <row r="163" spans="1:17" ht="15" thickBot="1" x14ac:dyDescent="0.35">
      <c r="A163" s="2" t="s">
        <v>75</v>
      </c>
      <c r="B163" s="2" t="s">
        <v>48</v>
      </c>
      <c r="C163" s="2" t="s">
        <v>24</v>
      </c>
      <c r="D163" s="2" t="s">
        <v>12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J163">
        <f t="shared" si="6"/>
        <v>512.51199999999994</v>
      </c>
      <c r="L163" s="11">
        <f t="shared" si="7"/>
        <v>-8.6600899100899131E-2</v>
      </c>
      <c r="M163" t="str">
        <v>Jan</v>
      </c>
      <c r="Q163" s="12">
        <f t="shared" ca="1" si="8"/>
        <v>46094.541705439813</v>
      </c>
    </row>
    <row r="164" spans="1:17" ht="29.4" thickBot="1" x14ac:dyDescent="0.35">
      <c r="A164" s="2" t="s">
        <v>22</v>
      </c>
      <c r="B164" s="2" t="s">
        <v>43</v>
      </c>
      <c r="C164" s="2" t="s">
        <v>11</v>
      </c>
      <c r="D164" s="2" t="s">
        <v>15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J164">
        <f t="shared" si="6"/>
        <v>526.64400000000001</v>
      </c>
      <c r="L164" s="11">
        <f t="shared" si="7"/>
        <v>0.8968829038211773</v>
      </c>
      <c r="M164" t="str">
        <v>Jan</v>
      </c>
      <c r="Q164" s="12">
        <f t="shared" ca="1" si="8"/>
        <v>46094.541705439813</v>
      </c>
    </row>
    <row r="165" spans="1:17" ht="29.4" thickBot="1" x14ac:dyDescent="0.35">
      <c r="A165" s="2" t="s">
        <v>22</v>
      </c>
      <c r="B165" s="2" t="s">
        <v>31</v>
      </c>
      <c r="C165" s="2" t="s">
        <v>18</v>
      </c>
      <c r="D165" s="2" t="s">
        <v>15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J165">
        <f t="shared" si="6"/>
        <v>887.98400000000004</v>
      </c>
      <c r="L165" s="11">
        <f t="shared" si="7"/>
        <v>-1.0720913890340448E-2</v>
      </c>
      <c r="M165" t="str">
        <v>Feb</v>
      </c>
      <c r="Q165" s="12">
        <f t="shared" ca="1" si="8"/>
        <v>46094.541705439813</v>
      </c>
    </row>
    <row r="166" spans="1:17" ht="29.4" thickBot="1" x14ac:dyDescent="0.35">
      <c r="A166" s="2" t="s">
        <v>58</v>
      </c>
      <c r="B166" s="2" t="s">
        <v>45</v>
      </c>
      <c r="C166" s="2" t="s">
        <v>18</v>
      </c>
      <c r="D166" s="2" t="s">
        <v>12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J166">
        <f t="shared" si="6"/>
        <v>988.27199999999993</v>
      </c>
      <c r="L166" s="11">
        <f t="shared" si="7"/>
        <v>-0.24663958910097619</v>
      </c>
      <c r="M166" t="str">
        <v>Feb</v>
      </c>
      <c r="Q166" s="12">
        <f t="shared" ca="1" si="8"/>
        <v>46094.541705439813</v>
      </c>
    </row>
    <row r="167" spans="1:17" ht="29.4" thickBot="1" x14ac:dyDescent="0.35">
      <c r="A167" s="2" t="s">
        <v>65</v>
      </c>
      <c r="B167" s="2" t="s">
        <v>48</v>
      </c>
      <c r="C167" s="2" t="s">
        <v>11</v>
      </c>
      <c r="D167" s="2" t="s">
        <v>39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J167">
        <f t="shared" si="6"/>
        <v>744.52499999999998</v>
      </c>
      <c r="L167" s="11">
        <f t="shared" si="7"/>
        <v>-0.10319734058627984</v>
      </c>
      <c r="M167" t="str">
        <v>Feb</v>
      </c>
      <c r="Q167" s="12">
        <f t="shared" ca="1" si="8"/>
        <v>46094.541705439813</v>
      </c>
    </row>
    <row r="168" spans="1:17" ht="29.4" thickBot="1" x14ac:dyDescent="0.35">
      <c r="A168" s="2" t="s">
        <v>70</v>
      </c>
      <c r="B168" s="2" t="s">
        <v>29</v>
      </c>
      <c r="C168" s="2" t="s">
        <v>34</v>
      </c>
      <c r="D168" s="2" t="s">
        <v>15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J168">
        <f t="shared" si="6"/>
        <v>667.69200000000001</v>
      </c>
      <c r="L168" s="11">
        <f t="shared" si="7"/>
        <v>0.76748261174313903</v>
      </c>
      <c r="M168" t="str">
        <v>Feb</v>
      </c>
      <c r="Q168" s="12">
        <f t="shared" ca="1" si="8"/>
        <v>46094.541705439813</v>
      </c>
    </row>
    <row r="169" spans="1:17" ht="29.4" thickBot="1" x14ac:dyDescent="0.35">
      <c r="A169" s="2" t="s">
        <v>72</v>
      </c>
      <c r="B169" s="2" t="s">
        <v>10</v>
      </c>
      <c r="C169" s="2" t="s">
        <v>18</v>
      </c>
      <c r="D169" s="2" t="s">
        <v>39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531.05999999999995</v>
      </c>
      <c r="J169">
        <f t="shared" si="6"/>
        <v>1180.134</v>
      </c>
      <c r="L169" s="11">
        <f t="shared" si="7"/>
        <v>-0.56277168524930221</v>
      </c>
      <c r="M169" t="str">
        <v>Feb</v>
      </c>
      <c r="Q169" s="12">
        <f t="shared" ca="1" si="8"/>
        <v>46094.541705439813</v>
      </c>
    </row>
    <row r="170" spans="1:17" ht="29.4" thickBot="1" x14ac:dyDescent="0.35">
      <c r="A170" s="2" t="s">
        <v>72</v>
      </c>
      <c r="B170" s="2" t="s">
        <v>31</v>
      </c>
      <c r="C170" s="2" t="s">
        <v>20</v>
      </c>
      <c r="D170" s="2" t="s">
        <v>39</v>
      </c>
      <c r="E170" s="3">
        <v>573.32000000000005</v>
      </c>
      <c r="F170" s="3">
        <v>19</v>
      </c>
      <c r="G170" s="3">
        <v>0.1</v>
      </c>
      <c r="H170" s="4">
        <v>45703</v>
      </c>
      <c r="I170" s="3">
        <v>232.19</v>
      </c>
      <c r="J170">
        <f t="shared" si="6"/>
        <v>515.98800000000006</v>
      </c>
      <c r="L170" s="11">
        <f t="shared" si="7"/>
        <v>0.94519639991627702</v>
      </c>
      <c r="M170" t="str">
        <v>Feb</v>
      </c>
      <c r="Q170" s="12">
        <f t="shared" ca="1" si="8"/>
        <v>46094.541705439813</v>
      </c>
    </row>
    <row r="171" spans="1:17" ht="29.4" thickBot="1" x14ac:dyDescent="0.35">
      <c r="A171" s="2" t="s">
        <v>52</v>
      </c>
      <c r="B171" s="2" t="s">
        <v>23</v>
      </c>
      <c r="C171" s="2" t="s">
        <v>11</v>
      </c>
      <c r="D171" s="2" t="s">
        <v>21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J171">
        <f t="shared" si="6"/>
        <v>892.17600000000004</v>
      </c>
      <c r="L171" s="11">
        <f t="shared" si="7"/>
        <v>-0.24154875271246928</v>
      </c>
      <c r="M171" t="str">
        <v>Feb</v>
      </c>
      <c r="Q171" s="12">
        <f t="shared" ca="1" si="8"/>
        <v>46094.541705439813</v>
      </c>
    </row>
    <row r="172" spans="1:17" ht="29.4" thickBot="1" x14ac:dyDescent="0.35">
      <c r="A172" s="2" t="s">
        <v>13</v>
      </c>
      <c r="B172" s="2" t="s">
        <v>45</v>
      </c>
      <c r="C172" s="2" t="s">
        <v>24</v>
      </c>
      <c r="D172" s="2" t="s">
        <v>15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J172">
        <f t="shared" si="6"/>
        <v>845.84</v>
      </c>
      <c r="L172" s="11">
        <f t="shared" si="7"/>
        <v>0.21748794098174587</v>
      </c>
      <c r="M172" t="str">
        <v>Feb</v>
      </c>
      <c r="Q172" s="12">
        <f t="shared" ca="1" si="8"/>
        <v>46094.541705439813</v>
      </c>
    </row>
    <row r="173" spans="1:17" ht="29.4" thickBot="1" x14ac:dyDescent="0.35">
      <c r="A173" s="2" t="s">
        <v>30</v>
      </c>
      <c r="B173" s="2" t="s">
        <v>55</v>
      </c>
      <c r="C173" s="2" t="s">
        <v>11</v>
      </c>
      <c r="D173" s="2" t="s">
        <v>21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J173">
        <f t="shared" si="6"/>
        <v>1029.8</v>
      </c>
      <c r="L173" s="11">
        <f t="shared" si="7"/>
        <v>0.15539910662264517</v>
      </c>
      <c r="M173" t="str">
        <v>Feb</v>
      </c>
      <c r="Q173" s="12">
        <f t="shared" ca="1" si="8"/>
        <v>46094.541705439813</v>
      </c>
    </row>
    <row r="174" spans="1:17" ht="29.4" thickBot="1" x14ac:dyDescent="0.35">
      <c r="A174" s="2" t="s">
        <v>32</v>
      </c>
      <c r="B174" s="2" t="s">
        <v>31</v>
      </c>
      <c r="C174" s="2" t="s">
        <v>24</v>
      </c>
      <c r="D174" s="2" t="s">
        <v>12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J174">
        <f t="shared" si="6"/>
        <v>951.86399999999992</v>
      </c>
      <c r="L174" s="11">
        <f t="shared" si="7"/>
        <v>-0.40808350772799473</v>
      </c>
      <c r="M174" t="str">
        <v>Feb</v>
      </c>
      <c r="Q174" s="12">
        <f t="shared" ca="1" si="8"/>
        <v>46094.541705439813</v>
      </c>
    </row>
    <row r="175" spans="1:17" ht="29.4" thickBot="1" x14ac:dyDescent="0.35">
      <c r="A175" s="2" t="s">
        <v>67</v>
      </c>
      <c r="B175" s="2" t="s">
        <v>43</v>
      </c>
      <c r="C175" s="2" t="s">
        <v>20</v>
      </c>
      <c r="D175" s="2" t="s">
        <v>12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J175">
        <f t="shared" si="6"/>
        <v>563.42399999999998</v>
      </c>
      <c r="L175" s="11">
        <f t="shared" si="7"/>
        <v>1.2976940989379226</v>
      </c>
      <c r="M175" t="str">
        <v>Feb</v>
      </c>
      <c r="Q175" s="12">
        <f t="shared" ca="1" si="8"/>
        <v>46094.541705439813</v>
      </c>
    </row>
    <row r="176" spans="1:17" ht="29.4" thickBot="1" x14ac:dyDescent="0.35">
      <c r="A176" s="2" t="s">
        <v>65</v>
      </c>
      <c r="B176" s="2" t="s">
        <v>47</v>
      </c>
      <c r="C176" s="2" t="s">
        <v>34</v>
      </c>
      <c r="D176" s="2" t="s">
        <v>39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582.55999999999995</v>
      </c>
      <c r="J176">
        <f t="shared" si="6"/>
        <v>1294.576</v>
      </c>
      <c r="L176" s="11">
        <f t="shared" si="7"/>
        <v>-0.37311984773392992</v>
      </c>
      <c r="M176" t="str">
        <v>Feb</v>
      </c>
      <c r="Q176" s="12">
        <f t="shared" ca="1" si="8"/>
        <v>46094.541705439813</v>
      </c>
    </row>
    <row r="177" spans="1:17" ht="29.4" thickBot="1" x14ac:dyDescent="0.35">
      <c r="A177" s="2" t="s">
        <v>73</v>
      </c>
      <c r="B177" s="2" t="s">
        <v>53</v>
      </c>
      <c r="C177" s="2" t="s">
        <v>34</v>
      </c>
      <c r="D177" s="2" t="s">
        <v>12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J177">
        <f t="shared" si="6"/>
        <v>862.26549999999997</v>
      </c>
      <c r="L177" s="11">
        <f t="shared" si="7"/>
        <v>-0.1847934307936476</v>
      </c>
      <c r="M177" t="str">
        <v>Feb</v>
      </c>
      <c r="Q177" s="12">
        <f t="shared" ca="1" si="8"/>
        <v>46094.541705439813</v>
      </c>
    </row>
    <row r="178" spans="1:17" ht="29.4" thickBot="1" x14ac:dyDescent="0.35">
      <c r="A178" s="2" t="s">
        <v>75</v>
      </c>
      <c r="B178" s="2" t="s">
        <v>31</v>
      </c>
      <c r="C178" s="2" t="s">
        <v>34</v>
      </c>
      <c r="D178" s="2" t="s">
        <v>15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J178">
        <f t="shared" si="6"/>
        <v>661.57600000000002</v>
      </c>
      <c r="L178" s="11">
        <f t="shared" si="7"/>
        <v>0.23611497394101355</v>
      </c>
      <c r="M178" t="str">
        <v>Feb</v>
      </c>
      <c r="Q178" s="12">
        <f t="shared" ca="1" si="8"/>
        <v>46094.541705439813</v>
      </c>
    </row>
    <row r="179" spans="1:17" ht="29.4" thickBot="1" x14ac:dyDescent="0.35">
      <c r="A179" s="2" t="s">
        <v>16</v>
      </c>
      <c r="B179" s="2" t="s">
        <v>31</v>
      </c>
      <c r="C179" s="2" t="s">
        <v>34</v>
      </c>
      <c r="D179" s="2" t="s">
        <v>15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J179">
        <f t="shared" si="6"/>
        <v>920.00700000000006</v>
      </c>
      <c r="L179" s="11">
        <f t="shared" si="7"/>
        <v>7.5775510403725224E-2</v>
      </c>
      <c r="M179" t="str">
        <v>Mar</v>
      </c>
      <c r="Q179" s="12">
        <f t="shared" ca="1" si="8"/>
        <v>46094.541705439813</v>
      </c>
    </row>
    <row r="180" spans="1:17" ht="29.4" thickBot="1" x14ac:dyDescent="0.35">
      <c r="A180" s="2" t="s">
        <v>72</v>
      </c>
      <c r="B180" s="2" t="s">
        <v>29</v>
      </c>
      <c r="C180" s="2" t="s">
        <v>18</v>
      </c>
      <c r="D180" s="2" t="s">
        <v>12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J180">
        <f t="shared" si="6"/>
        <v>1099.69</v>
      </c>
      <c r="L180" s="11">
        <f t="shared" si="7"/>
        <v>-0.35389064190817415</v>
      </c>
      <c r="M180" t="str">
        <v>Mar</v>
      </c>
      <c r="Q180" s="12">
        <f t="shared" ca="1" si="8"/>
        <v>46094.541705439813</v>
      </c>
    </row>
    <row r="181" spans="1:17" ht="29.4" thickBot="1" x14ac:dyDescent="0.35">
      <c r="A181" s="2" t="s">
        <v>52</v>
      </c>
      <c r="B181" s="2" t="s">
        <v>64</v>
      </c>
      <c r="C181" s="2" t="s">
        <v>24</v>
      </c>
      <c r="D181" s="2" t="s">
        <v>12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J181">
        <f t="shared" si="6"/>
        <v>639.46799999999996</v>
      </c>
      <c r="L181" s="11">
        <f t="shared" si="7"/>
        <v>-0.29744412542926307</v>
      </c>
      <c r="M181" t="str">
        <v>Mar</v>
      </c>
      <c r="Q181" s="12">
        <f t="shared" ca="1" si="8"/>
        <v>46094.541705439813</v>
      </c>
    </row>
    <row r="182" spans="1:17" ht="29.4" thickBot="1" x14ac:dyDescent="0.35">
      <c r="A182" s="2" t="s">
        <v>52</v>
      </c>
      <c r="B182" s="2" t="s">
        <v>59</v>
      </c>
      <c r="C182" s="2" t="s">
        <v>24</v>
      </c>
      <c r="D182" s="2" t="s">
        <v>12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J182">
        <f t="shared" si="6"/>
        <v>399.34399999999999</v>
      </c>
      <c r="L182" s="11">
        <f t="shared" si="7"/>
        <v>1.1318762770944348</v>
      </c>
      <c r="M182" t="str">
        <v>Mar</v>
      </c>
      <c r="Q182" s="12">
        <f t="shared" ca="1" si="8"/>
        <v>46094.541705439813</v>
      </c>
    </row>
    <row r="183" spans="1:17" ht="29.4" thickBot="1" x14ac:dyDescent="0.35">
      <c r="A183" s="2" t="s">
        <v>37</v>
      </c>
      <c r="B183" s="2" t="s">
        <v>38</v>
      </c>
      <c r="C183" s="2" t="s">
        <v>20</v>
      </c>
      <c r="D183" s="2" t="s">
        <v>12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J183">
        <f t="shared" si="6"/>
        <v>1010.9805</v>
      </c>
      <c r="L183" s="11">
        <f t="shared" si="7"/>
        <v>-0.58770520301825802</v>
      </c>
      <c r="M183" t="str">
        <v>Mar</v>
      </c>
      <c r="Q183" s="12">
        <f t="shared" ca="1" si="8"/>
        <v>46094.541705439813</v>
      </c>
    </row>
    <row r="184" spans="1:17" ht="29.4" thickBot="1" x14ac:dyDescent="0.35">
      <c r="A184" s="2" t="s">
        <v>67</v>
      </c>
      <c r="B184" s="2" t="s">
        <v>38</v>
      </c>
      <c r="C184" s="2" t="s">
        <v>18</v>
      </c>
      <c r="D184" s="2" t="s">
        <v>39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J184">
        <f t="shared" si="6"/>
        <v>416.822</v>
      </c>
      <c r="L184" s="11">
        <f t="shared" si="7"/>
        <v>0.97141945482724046</v>
      </c>
      <c r="M184" t="str">
        <v>Mar</v>
      </c>
      <c r="Q184" s="12">
        <f t="shared" ca="1" si="8"/>
        <v>46094.541705439813</v>
      </c>
    </row>
    <row r="185" spans="1:17" ht="29.4" thickBot="1" x14ac:dyDescent="0.35">
      <c r="A185" s="2" t="s">
        <v>41</v>
      </c>
      <c r="B185" s="2" t="s">
        <v>55</v>
      </c>
      <c r="C185" s="2" t="s">
        <v>11</v>
      </c>
      <c r="D185" s="2" t="s">
        <v>15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J185">
        <f t="shared" si="6"/>
        <v>821.73099999999999</v>
      </c>
      <c r="L185" s="11">
        <f t="shared" si="7"/>
        <v>0.13867372656015159</v>
      </c>
      <c r="M185" t="str">
        <v>Mar</v>
      </c>
      <c r="Q185" s="12">
        <f t="shared" ca="1" si="8"/>
        <v>46094.541705439813</v>
      </c>
    </row>
    <row r="186" spans="1:17" ht="29.4" thickBot="1" x14ac:dyDescent="0.35">
      <c r="A186" s="2" t="s">
        <v>57</v>
      </c>
      <c r="B186" s="2" t="s">
        <v>55</v>
      </c>
      <c r="C186" s="2" t="s">
        <v>11</v>
      </c>
      <c r="D186" s="2" t="s">
        <v>27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275.77999999999997</v>
      </c>
      <c r="J186">
        <f t="shared" si="6"/>
        <v>787.94399999999996</v>
      </c>
      <c r="L186" s="11">
        <f t="shared" si="7"/>
        <v>0.51634126283086113</v>
      </c>
      <c r="M186" t="str">
        <v>Mar</v>
      </c>
      <c r="Q186" s="12">
        <f t="shared" ca="1" si="8"/>
        <v>46094.541705439813</v>
      </c>
    </row>
    <row r="187" spans="1:17" ht="29.4" thickBot="1" x14ac:dyDescent="0.35">
      <c r="A187" s="2" t="s">
        <v>25</v>
      </c>
      <c r="B187" s="2" t="s">
        <v>55</v>
      </c>
      <c r="C187" s="2" t="s">
        <v>11</v>
      </c>
      <c r="D187" s="2" t="s">
        <v>15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J187">
        <f t="shared" si="6"/>
        <v>1493.49</v>
      </c>
      <c r="L187" s="11">
        <f t="shared" si="7"/>
        <v>-0.53837655424542519</v>
      </c>
      <c r="M187" t="str">
        <v>Mar</v>
      </c>
      <c r="Q187" s="12">
        <f t="shared" ca="1" si="8"/>
        <v>46094.541705439813</v>
      </c>
    </row>
    <row r="188" spans="1:17" ht="29.4" thickBot="1" x14ac:dyDescent="0.35">
      <c r="A188" s="2" t="s">
        <v>32</v>
      </c>
      <c r="B188" s="2" t="s">
        <v>53</v>
      </c>
      <c r="C188" s="2" t="s">
        <v>20</v>
      </c>
      <c r="D188" s="2" t="s">
        <v>15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J188">
        <f t="shared" si="6"/>
        <v>620.48699999999997</v>
      </c>
      <c r="L188" s="11">
        <f t="shared" si="7"/>
        <v>-1.0428905037494657E-2</v>
      </c>
      <c r="M188" t="str">
        <v>Mar</v>
      </c>
      <c r="Q188" s="12">
        <f t="shared" ca="1" si="8"/>
        <v>46094.541705439813</v>
      </c>
    </row>
    <row r="189" spans="1:17" ht="29.4" thickBot="1" x14ac:dyDescent="0.35">
      <c r="A189" s="2" t="s">
        <v>40</v>
      </c>
      <c r="B189" s="2" t="s">
        <v>59</v>
      </c>
      <c r="C189" s="2" t="s">
        <v>20</v>
      </c>
      <c r="D189" s="2" t="s">
        <v>15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J189">
        <f t="shared" si="6"/>
        <v>682.24</v>
      </c>
      <c r="L189" s="11">
        <f t="shared" si="7"/>
        <v>-0.32789047842401498</v>
      </c>
      <c r="M189" t="str">
        <v>Mar</v>
      </c>
      <c r="Q189" s="12">
        <f t="shared" ca="1" si="8"/>
        <v>46094.541705439813</v>
      </c>
    </row>
    <row r="190" spans="1:17" ht="29.4" thickBot="1" x14ac:dyDescent="0.35">
      <c r="A190" s="2" t="s">
        <v>41</v>
      </c>
      <c r="B190" s="2" t="s">
        <v>26</v>
      </c>
      <c r="C190" s="2" t="s">
        <v>24</v>
      </c>
      <c r="D190" s="2" t="s">
        <v>21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J190">
        <f t="shared" si="6"/>
        <v>366.83199999999999</v>
      </c>
      <c r="L190" s="11">
        <f t="shared" si="7"/>
        <v>1.5826536398133206</v>
      </c>
      <c r="M190" t="str">
        <v>Mar</v>
      </c>
      <c r="Q190" s="12">
        <f t="shared" ca="1" si="8"/>
        <v>46094.541705439813</v>
      </c>
    </row>
    <row r="191" spans="1:17" ht="29.4" thickBot="1" x14ac:dyDescent="0.35">
      <c r="A191" s="2" t="s">
        <v>32</v>
      </c>
      <c r="B191" s="2" t="s">
        <v>26</v>
      </c>
      <c r="C191" s="2" t="s">
        <v>20</v>
      </c>
      <c r="D191" s="2" t="s">
        <v>27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J191">
        <f t="shared" si="6"/>
        <v>947.4</v>
      </c>
      <c r="L191" s="11">
        <f t="shared" si="7"/>
        <v>-0.35643656322567024</v>
      </c>
      <c r="M191" t="str">
        <v>Mar</v>
      </c>
      <c r="Q191" s="12">
        <f t="shared" ca="1" si="8"/>
        <v>46094.541705439813</v>
      </c>
    </row>
    <row r="192" spans="1:17" ht="29.4" thickBot="1" x14ac:dyDescent="0.35">
      <c r="A192" s="2" t="s">
        <v>25</v>
      </c>
      <c r="B192" s="2" t="s">
        <v>10</v>
      </c>
      <c r="C192" s="2" t="s">
        <v>20</v>
      </c>
      <c r="D192" s="2" t="s">
        <v>15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J192">
        <f t="shared" si="6"/>
        <v>762.14</v>
      </c>
      <c r="L192" s="11">
        <f t="shared" si="7"/>
        <v>-1.4997244600729459E-2</v>
      </c>
      <c r="M192" t="str">
        <v>Mar</v>
      </c>
      <c r="Q192" s="12">
        <f t="shared" ca="1" si="8"/>
        <v>46094.541705439813</v>
      </c>
    </row>
    <row r="193" spans="1:17" ht="29.4" thickBot="1" x14ac:dyDescent="0.35">
      <c r="A193" s="2" t="s">
        <v>22</v>
      </c>
      <c r="B193" s="2" t="s">
        <v>53</v>
      </c>
      <c r="C193" s="2" t="s">
        <v>24</v>
      </c>
      <c r="D193" s="2" t="s">
        <v>12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J193">
        <f t="shared" si="6"/>
        <v>638.10350000000005</v>
      </c>
      <c r="L193" s="11">
        <f t="shared" si="7"/>
        <v>0.94074942387872806</v>
      </c>
      <c r="M193" t="str">
        <v>Mar</v>
      </c>
      <c r="Q193" s="12">
        <f t="shared" ca="1" si="8"/>
        <v>46094.541705439813</v>
      </c>
    </row>
    <row r="194" spans="1:17" ht="29.4" thickBot="1" x14ac:dyDescent="0.35">
      <c r="A194" s="2" t="s">
        <v>75</v>
      </c>
      <c r="B194" s="2" t="s">
        <v>71</v>
      </c>
      <c r="C194" s="2" t="s">
        <v>34</v>
      </c>
      <c r="D194" s="2" t="s">
        <v>15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J194">
        <f t="shared" si="6"/>
        <v>1384.0930000000001</v>
      </c>
      <c r="L194" s="11">
        <f t="shared" si="7"/>
        <v>-0.24953670020728372</v>
      </c>
      <c r="M194" t="str">
        <v>Mar</v>
      </c>
      <c r="Q194" s="12">
        <f t="shared" ca="1" si="8"/>
        <v>46094.541705439813</v>
      </c>
    </row>
    <row r="195" spans="1:17" ht="29.4" thickBot="1" x14ac:dyDescent="0.35">
      <c r="A195" s="2" t="s">
        <v>44</v>
      </c>
      <c r="B195" s="2" t="s">
        <v>61</v>
      </c>
      <c r="C195" s="2" t="s">
        <v>18</v>
      </c>
      <c r="D195" s="2" t="s">
        <v>27</v>
      </c>
      <c r="E195" s="3">
        <v>1093.3800000000001</v>
      </c>
      <c r="F195" s="3">
        <v>17</v>
      </c>
      <c r="G195" s="3">
        <v>0.1</v>
      </c>
      <c r="H195" s="4">
        <v>45745</v>
      </c>
      <c r="I195" s="3">
        <v>344.41</v>
      </c>
      <c r="J195">
        <f t="shared" ref="J195:J201" si="9">E195-(E195*G195)</f>
        <v>984.04200000000014</v>
      </c>
      <c r="L195" s="11">
        <f t="shared" ref="L195:L201" si="10">(E196-E195)/E195</f>
        <v>-0.14552122775247409</v>
      </c>
      <c r="M195" t="str">
        <v>Mar</v>
      </c>
      <c r="Q195" s="12">
        <f t="shared" ref="Q195:Q201" ca="1" si="11">NOW()</f>
        <v>46094.541705439813</v>
      </c>
    </row>
    <row r="196" spans="1:17" ht="29.4" thickBot="1" x14ac:dyDescent="0.35">
      <c r="A196" s="2" t="s">
        <v>37</v>
      </c>
      <c r="B196" s="2" t="s">
        <v>43</v>
      </c>
      <c r="C196" s="2" t="s">
        <v>11</v>
      </c>
      <c r="D196" s="2" t="s">
        <v>15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J196">
        <f t="shared" si="9"/>
        <v>794.12950000000001</v>
      </c>
      <c r="L196" s="11">
        <f t="shared" si="10"/>
        <v>0.56844381174606906</v>
      </c>
      <c r="M196" t="str">
        <v>Mar</v>
      </c>
      <c r="Q196" s="12">
        <f t="shared" ca="1" si="11"/>
        <v>46094.541705439813</v>
      </c>
    </row>
    <row r="197" spans="1:17" ht="29.4" thickBot="1" x14ac:dyDescent="0.35">
      <c r="A197" s="2" t="s">
        <v>70</v>
      </c>
      <c r="B197" s="2" t="s">
        <v>36</v>
      </c>
      <c r="C197" s="2" t="s">
        <v>34</v>
      </c>
      <c r="D197" s="2" t="s">
        <v>15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J197">
        <f t="shared" si="9"/>
        <v>1172.28</v>
      </c>
      <c r="L197" s="11">
        <f t="shared" si="10"/>
        <v>-0.49445524959907189</v>
      </c>
      <c r="M197" t="str">
        <v>Mar</v>
      </c>
      <c r="Q197" s="12">
        <f t="shared" ca="1" si="11"/>
        <v>46094.541705439813</v>
      </c>
    </row>
    <row r="198" spans="1:17" ht="29.4" thickBot="1" x14ac:dyDescent="0.35">
      <c r="A198" s="2" t="s">
        <v>52</v>
      </c>
      <c r="B198" s="2" t="s">
        <v>14</v>
      </c>
      <c r="C198" s="2" t="s">
        <v>20</v>
      </c>
      <c r="D198" s="2" t="s">
        <v>39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J198">
        <f t="shared" si="9"/>
        <v>740.8</v>
      </c>
      <c r="L198" s="11">
        <f t="shared" si="10"/>
        <v>-0.26371490280777526</v>
      </c>
      <c r="M198" t="str">
        <v>Apr</v>
      </c>
      <c r="Q198" s="12">
        <f t="shared" ca="1" si="11"/>
        <v>46094.541705439813</v>
      </c>
    </row>
    <row r="199" spans="1:17" ht="29.4" thickBot="1" x14ac:dyDescent="0.35">
      <c r="A199" s="2" t="s">
        <v>58</v>
      </c>
      <c r="B199" s="2" t="s">
        <v>43</v>
      </c>
      <c r="C199" s="2" t="s">
        <v>11</v>
      </c>
      <c r="D199" s="2" t="s">
        <v>39</v>
      </c>
      <c r="E199" s="3">
        <v>545.44000000000005</v>
      </c>
      <c r="F199" s="3">
        <v>17</v>
      </c>
      <c r="G199" s="3">
        <v>0</v>
      </c>
      <c r="H199" s="4">
        <v>45752</v>
      </c>
      <c r="I199" s="3">
        <v>245.45</v>
      </c>
      <c r="J199">
        <f t="shared" si="9"/>
        <v>545.44000000000005</v>
      </c>
      <c r="L199" s="11">
        <f t="shared" si="10"/>
        <v>0.82900044001173345</v>
      </c>
      <c r="M199" t="str">
        <v>Apr</v>
      </c>
      <c r="Q199" s="12">
        <f t="shared" ca="1" si="11"/>
        <v>46094.541705439813</v>
      </c>
    </row>
    <row r="200" spans="1:17" ht="29.4" thickBot="1" x14ac:dyDescent="0.35">
      <c r="A200" s="2" t="s">
        <v>35</v>
      </c>
      <c r="B200" s="2" t="s">
        <v>36</v>
      </c>
      <c r="C200" s="2" t="s">
        <v>18</v>
      </c>
      <c r="D200" s="2" t="s">
        <v>12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J200">
        <f t="shared" si="9"/>
        <v>947.72950000000003</v>
      </c>
      <c r="L200" s="11">
        <f t="shared" si="10"/>
        <v>-6.9455999839616644E-2</v>
      </c>
      <c r="M200" t="str">
        <v>Apr</v>
      </c>
      <c r="Q200" s="12">
        <f t="shared" ca="1" si="11"/>
        <v>46094.541705439813</v>
      </c>
    </row>
    <row r="201" spans="1:17" ht="29.4" thickBot="1" x14ac:dyDescent="0.35">
      <c r="A201" s="2" t="s">
        <v>60</v>
      </c>
      <c r="B201" s="2" t="s">
        <v>36</v>
      </c>
      <c r="C201" s="2" t="s">
        <v>20</v>
      </c>
      <c r="D201" s="2" t="s">
        <v>15</v>
      </c>
      <c r="E201" s="3">
        <v>928.32</v>
      </c>
      <c r="F201" s="3">
        <v>2</v>
      </c>
      <c r="G201" s="3">
        <v>0.05</v>
      </c>
      <c r="H201" s="4">
        <v>45754</v>
      </c>
      <c r="I201" s="3">
        <v>440.95</v>
      </c>
      <c r="J201">
        <f t="shared" si="9"/>
        <v>881.904</v>
      </c>
      <c r="L201" s="11">
        <f t="shared" si="10"/>
        <v>-1</v>
      </c>
      <c r="M201" t="str">
        <v>Apr</v>
      </c>
      <c r="Q201" s="12">
        <f t="shared" ca="1" si="11"/>
        <v>46094.541705439813</v>
      </c>
    </row>
  </sheetData>
  <mergeCells count="2">
    <mergeCell ref="N1:O1"/>
    <mergeCell ref="S1:T1"/>
  </mergeCells>
  <conditionalFormatting sqref="J2:J201">
    <cfRule type="top10" dxfId="0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E4CF-E0F4-4409-BBAB-50B31BC934BB}">
  <dimension ref="C1:Q7"/>
  <sheetViews>
    <sheetView topLeftCell="A12" workbookViewId="0">
      <selection activeCell="O5" sqref="O5:Q7"/>
    </sheetView>
  </sheetViews>
  <sheetFormatPr defaultRowHeight="14.4" x14ac:dyDescent="0.3"/>
  <sheetData>
    <row r="1" spans="3:17" ht="25.8" x14ac:dyDescent="0.3">
      <c r="F1" s="15" t="s">
        <v>122</v>
      </c>
      <c r="G1" s="15"/>
      <c r="H1" s="15"/>
      <c r="I1" s="15"/>
      <c r="J1" s="15"/>
      <c r="K1" s="15"/>
      <c r="L1" s="15"/>
      <c r="M1" s="15"/>
      <c r="N1" s="15"/>
      <c r="O1" s="15"/>
      <c r="P1" s="15"/>
    </row>
    <row r="4" spans="3:17" x14ac:dyDescent="0.3">
      <c r="C4" s="16" t="s">
        <v>124</v>
      </c>
      <c r="D4" s="16"/>
      <c r="E4" s="16"/>
      <c r="G4" s="18" t="s">
        <v>125</v>
      </c>
      <c r="H4" s="18"/>
      <c r="I4" s="18"/>
      <c r="K4" s="18" t="s">
        <v>126</v>
      </c>
      <c r="L4" s="18"/>
      <c r="M4" s="18"/>
      <c r="O4" s="18" t="s">
        <v>127</v>
      </c>
      <c r="P4" s="18"/>
      <c r="Q4" s="18"/>
    </row>
    <row r="5" spans="3:17" x14ac:dyDescent="0.3">
      <c r="C5" s="17">
        <f>SUM(Data!E2:E201)</f>
        <v>195217.75999999992</v>
      </c>
      <c r="D5" s="17"/>
      <c r="E5" s="17"/>
      <c r="G5" s="17">
        <f>SUM(Data!I2:I201)</f>
        <v>68287.010000000009</v>
      </c>
      <c r="H5" s="17"/>
      <c r="I5" s="17"/>
      <c r="K5" s="17" t="str">
        <f>INDEX(Data!A2:A201,MATCH(MAX(Data!J2:J201),Data!J2:J201,0))</f>
        <v>CUST015</v>
      </c>
      <c r="L5" s="17"/>
      <c r="M5" s="17"/>
      <c r="O5" s="17" t="str">
        <f>INDEX(Data!C2:C201,MATCH(MAX(Data!J2:J201),Data!J2:J201,0))</f>
        <v>West</v>
      </c>
      <c r="P5" s="17"/>
      <c r="Q5" s="17"/>
    </row>
    <row r="6" spans="3:17" x14ac:dyDescent="0.3">
      <c r="C6" s="17"/>
      <c r="D6" s="17"/>
      <c r="E6" s="17"/>
      <c r="G6" s="17"/>
      <c r="H6" s="17"/>
      <c r="I6" s="17"/>
      <c r="K6" s="17"/>
      <c r="L6" s="17"/>
      <c r="M6" s="17"/>
      <c r="O6" s="17"/>
      <c r="P6" s="17"/>
      <c r="Q6" s="17"/>
    </row>
    <row r="7" spans="3:17" x14ac:dyDescent="0.3">
      <c r="C7" s="17"/>
      <c r="D7" s="17"/>
      <c r="E7" s="17"/>
      <c r="G7" s="17"/>
      <c r="H7" s="17"/>
      <c r="I7" s="17"/>
      <c r="K7" s="17"/>
      <c r="L7" s="17"/>
      <c r="M7" s="17"/>
      <c r="O7" s="17"/>
      <c r="P7" s="17"/>
      <c r="Q7" s="17"/>
    </row>
  </sheetData>
  <mergeCells count="9">
    <mergeCell ref="F1:P1"/>
    <mergeCell ref="C4:E4"/>
    <mergeCell ref="C5:E7"/>
    <mergeCell ref="G4:I4"/>
    <mergeCell ref="G5:I7"/>
    <mergeCell ref="K4:M4"/>
    <mergeCell ref="K5:M7"/>
    <mergeCell ref="O4:Q4"/>
    <mergeCell ref="O5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Descriptive Statistics</vt:lpstr>
      <vt:lpstr>Pivot table</vt:lpstr>
      <vt:lpstr>Data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Darshil Kotadiya</dc:creator>
  <cp:lastModifiedBy>Darshil Kotadiya</cp:lastModifiedBy>
  <dcterms:created xsi:type="dcterms:W3CDTF">2026-03-12T06:50:37Z</dcterms:created>
  <dcterms:modified xsi:type="dcterms:W3CDTF">2026-03-13T07:30:04Z</dcterms:modified>
</cp:coreProperties>
</file>